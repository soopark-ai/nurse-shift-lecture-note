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0121\Desktop\"/>
    </mc:Choice>
  </mc:AlternateContent>
  <xr:revisionPtr revIDLastSave="0" documentId="13_ncr:1_{7305D0C6-A842-4D74-B801-7E24DA631B13}" xr6:coauthVersionLast="47" xr6:coauthVersionMax="47" xr10:uidLastSave="{00000000-0000-0000-0000-000000000000}"/>
  <bookViews>
    <workbookView xWindow="29535" yWindow="225" windowWidth="19200" windowHeight="12330" activeTab="1" xr2:uid="{246DE3FD-27BC-48E1-A5AF-6685AC420F94}"/>
  </bookViews>
  <sheets>
    <sheet name="10월" sheetId="2" r:id="rId1"/>
    <sheet name="11월 연습용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4" i="3" l="1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AM18" i="3"/>
  <c r="AL18" i="3"/>
  <c r="AK18" i="3"/>
  <c r="AJ18" i="3"/>
  <c r="AI18" i="3"/>
  <c r="AM17" i="3"/>
  <c r="AL17" i="3"/>
  <c r="AK17" i="3"/>
  <c r="AJ17" i="3"/>
  <c r="AI17" i="3"/>
  <c r="AM16" i="3"/>
  <c r="AL16" i="3"/>
  <c r="AK16" i="3"/>
  <c r="AJ16" i="3"/>
  <c r="AI16" i="3"/>
  <c r="AM15" i="3"/>
  <c r="AL15" i="3"/>
  <c r="AK15" i="3"/>
  <c r="AJ15" i="3"/>
  <c r="AI15" i="3"/>
  <c r="AM14" i="3"/>
  <c r="AL14" i="3"/>
  <c r="AK14" i="3"/>
  <c r="AJ14" i="3"/>
  <c r="AI14" i="3"/>
  <c r="AM13" i="3"/>
  <c r="AL13" i="3"/>
  <c r="AK13" i="3"/>
  <c r="AJ13" i="3"/>
  <c r="AI13" i="3"/>
  <c r="AM12" i="3"/>
  <c r="AL12" i="3"/>
  <c r="AK12" i="3"/>
  <c r="AJ12" i="3"/>
  <c r="AI12" i="3"/>
  <c r="AM11" i="3"/>
  <c r="AL11" i="3"/>
  <c r="AK11" i="3"/>
  <c r="AJ11" i="3"/>
  <c r="AI11" i="3"/>
  <c r="AM10" i="3"/>
  <c r="AL10" i="3"/>
  <c r="AK10" i="3"/>
  <c r="AJ10" i="3"/>
  <c r="AI10" i="3"/>
  <c r="AM9" i="3"/>
  <c r="AL9" i="3"/>
  <c r="AK9" i="3"/>
  <c r="AJ9" i="3"/>
  <c r="AI9" i="3"/>
  <c r="AM8" i="3"/>
  <c r="AL8" i="3"/>
  <c r="AK8" i="3"/>
  <c r="AJ8" i="3"/>
  <c r="AI8" i="3"/>
  <c r="AM6" i="3"/>
  <c r="AL6" i="3"/>
  <c r="AK6" i="3"/>
  <c r="AJ6" i="3"/>
  <c r="AI6" i="3"/>
  <c r="AM5" i="3"/>
  <c r="AL5" i="3"/>
  <c r="AK5" i="3"/>
  <c r="AJ5" i="3"/>
  <c r="AI5" i="3"/>
  <c r="AM4" i="3"/>
  <c r="AL4" i="3"/>
  <c r="AK4" i="3"/>
  <c r="AJ4" i="3"/>
  <c r="AI4" i="3"/>
  <c r="AM3" i="3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AM18" i="2"/>
  <c r="AL18" i="2"/>
  <c r="AK18" i="2"/>
  <c r="AJ18" i="2"/>
  <c r="AI18" i="2"/>
  <c r="AM17" i="2"/>
  <c r="AL17" i="2"/>
  <c r="AK17" i="2"/>
  <c r="AJ17" i="2"/>
  <c r="AI17" i="2"/>
  <c r="AM16" i="2"/>
  <c r="AL16" i="2"/>
  <c r="AK16" i="2"/>
  <c r="AJ16" i="2"/>
  <c r="AI16" i="2"/>
  <c r="AM15" i="2"/>
  <c r="AL15" i="2"/>
  <c r="AK15" i="2"/>
  <c r="AJ15" i="2"/>
  <c r="AI15" i="2"/>
  <c r="AM14" i="2"/>
  <c r="AL14" i="2"/>
  <c r="AK14" i="2"/>
  <c r="AJ14" i="2"/>
  <c r="AI14" i="2"/>
  <c r="AM13" i="2"/>
  <c r="AL13" i="2"/>
  <c r="AK13" i="2"/>
  <c r="AJ13" i="2"/>
  <c r="AI13" i="2"/>
  <c r="AM12" i="2"/>
  <c r="AL12" i="2"/>
  <c r="AK12" i="2"/>
  <c r="AJ12" i="2"/>
  <c r="AI12" i="2"/>
  <c r="AM11" i="2"/>
  <c r="AL11" i="2"/>
  <c r="AK11" i="2"/>
  <c r="AJ11" i="2"/>
  <c r="AI11" i="2"/>
  <c r="AM10" i="2"/>
  <c r="AL10" i="2"/>
  <c r="AK10" i="2"/>
  <c r="AJ10" i="2"/>
  <c r="AI10" i="2"/>
  <c r="AM9" i="2"/>
  <c r="AL9" i="2"/>
  <c r="AK9" i="2"/>
  <c r="AJ9" i="2"/>
  <c r="AI9" i="2"/>
  <c r="AM8" i="2"/>
  <c r="AL8" i="2"/>
  <c r="AK8" i="2"/>
  <c r="AJ8" i="2"/>
  <c r="AI8" i="2"/>
  <c r="AM6" i="2"/>
  <c r="AL6" i="2"/>
  <c r="AK6" i="2"/>
  <c r="AJ6" i="2"/>
  <c r="AI6" i="2"/>
  <c r="AM5" i="2"/>
  <c r="AL5" i="2"/>
  <c r="AK5" i="2"/>
  <c r="AJ5" i="2"/>
  <c r="AI5" i="2"/>
  <c r="AM4" i="2"/>
  <c r="AL4" i="2"/>
  <c r="AK4" i="2"/>
  <c r="AJ4" i="2"/>
  <c r="AI4" i="2"/>
  <c r="AM3" i="2"/>
</calcChain>
</file>

<file path=xl/sharedStrings.xml><?xml version="1.0" encoding="utf-8"?>
<sst xmlns="http://schemas.openxmlformats.org/spreadsheetml/2006/main" count="665" uniqueCount="65">
  <si>
    <t xml:space="preserve"> </t>
    <phoneticPr fontId="1" type="noConversion"/>
  </si>
  <si>
    <t>D</t>
    <phoneticPr fontId="1" type="noConversion"/>
  </si>
  <si>
    <t>E</t>
    <phoneticPr fontId="1" type="noConversion"/>
  </si>
  <si>
    <t>N</t>
    <phoneticPr fontId="1" type="noConversion"/>
  </si>
  <si>
    <t>p</t>
    <phoneticPr fontId="1" type="noConversion"/>
  </si>
  <si>
    <t>일</t>
  </si>
  <si>
    <t>월</t>
  </si>
  <si>
    <t>화</t>
  </si>
  <si>
    <t>수</t>
  </si>
  <si>
    <t>목</t>
  </si>
  <si>
    <t>금</t>
  </si>
  <si>
    <t>토</t>
  </si>
  <si>
    <t>일</t>
    <phoneticPr fontId="1" type="noConversion"/>
  </si>
  <si>
    <t>월</t>
    <phoneticPr fontId="1" type="noConversion"/>
  </si>
  <si>
    <t>OO</t>
    <phoneticPr fontId="1" type="noConversion"/>
  </si>
  <si>
    <t>O</t>
    <phoneticPr fontId="1" type="noConversion"/>
  </si>
  <si>
    <t>DDD</t>
    <phoneticPr fontId="1" type="noConversion"/>
  </si>
  <si>
    <t>EE</t>
    <phoneticPr fontId="1" type="noConversion"/>
  </si>
  <si>
    <t>NN</t>
    <phoneticPr fontId="1" type="noConversion"/>
  </si>
  <si>
    <t>ON</t>
    <phoneticPr fontId="1" type="noConversion"/>
  </si>
  <si>
    <t>T</t>
    <phoneticPr fontId="1" type="noConversion"/>
  </si>
  <si>
    <t>OD</t>
    <phoneticPr fontId="1" type="noConversion"/>
  </si>
  <si>
    <t>DDE</t>
    <phoneticPr fontId="1" type="noConversion"/>
  </si>
  <si>
    <t>NNO</t>
    <phoneticPr fontId="1" type="noConversion"/>
  </si>
  <si>
    <t>OOO</t>
    <phoneticPr fontId="1" type="noConversion"/>
  </si>
  <si>
    <t>T:2</t>
    <phoneticPr fontId="1" type="noConversion"/>
  </si>
  <si>
    <t>T2</t>
    <phoneticPr fontId="1" type="noConversion"/>
  </si>
  <si>
    <t>P</t>
    <phoneticPr fontId="1" type="noConversion"/>
  </si>
  <si>
    <t>F</t>
    <phoneticPr fontId="1" type="noConversion"/>
  </si>
  <si>
    <t>215-3</t>
    <phoneticPr fontId="1" type="noConversion"/>
  </si>
  <si>
    <t>215-4</t>
    <phoneticPr fontId="1" type="noConversion"/>
  </si>
  <si>
    <t>215-5</t>
    <phoneticPr fontId="1" type="noConversion"/>
  </si>
  <si>
    <t>219-0</t>
    <phoneticPr fontId="1" type="noConversion"/>
  </si>
  <si>
    <t>219-2</t>
    <phoneticPr fontId="1" type="noConversion"/>
  </si>
  <si>
    <t>220-1</t>
    <phoneticPr fontId="1" type="noConversion"/>
  </si>
  <si>
    <t>222-4</t>
    <phoneticPr fontId="1" type="noConversion"/>
  </si>
  <si>
    <t>223-4</t>
    <phoneticPr fontId="1" type="noConversion"/>
  </si>
  <si>
    <t>225-1</t>
    <phoneticPr fontId="1" type="noConversion"/>
  </si>
  <si>
    <t>226-1</t>
    <phoneticPr fontId="1" type="noConversion"/>
  </si>
  <si>
    <t>226-3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</si>
  <si>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</si>
  <si>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</si>
  <si>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</si>
  <si>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화</t>
    <phoneticPr fontId="1" type="noConversion"/>
  </si>
  <si>
    <t>수</t>
    <phoneticPr fontId="1" type="noConversion"/>
  </si>
  <si>
    <t>Et</t>
    <phoneticPr fontId="1" type="noConversion"/>
  </si>
  <si>
    <t>Dt</t>
    <phoneticPr fontId="1" type="noConversion"/>
  </si>
  <si>
    <t>C1</t>
    <phoneticPr fontId="1" type="noConversion"/>
  </si>
  <si>
    <t>쑤</t>
    <phoneticPr fontId="1" type="noConversion"/>
  </si>
  <si>
    <t>Tn</t>
    <phoneticPr fontId="1" type="noConversion"/>
  </si>
  <si>
    <t>H1</t>
    <phoneticPr fontId="1" type="noConversion"/>
  </si>
  <si>
    <t>Nt</t>
  </si>
  <si>
    <t>Nt</t>
    <phoneticPr fontId="1" type="noConversion"/>
  </si>
  <si>
    <t>De</t>
    <phoneticPr fontId="1" type="noConversion"/>
  </si>
  <si>
    <t>Z</t>
    <phoneticPr fontId="1" type="noConversion"/>
  </si>
  <si>
    <t>간호사</t>
    <phoneticPr fontId="1" type="noConversion"/>
  </si>
  <si>
    <r>
      <t xml:space="preserve">간호사 근무표 -  2026년 11월(3-3-2) </t>
    </r>
    <r>
      <rPr>
        <b/>
        <sz val="12"/>
        <rFont val="함초롬돋움"/>
        <family val="3"/>
        <charset val="129"/>
      </rPr>
      <t>(T:노조교육)</t>
    </r>
    <phoneticPr fontId="1" type="noConversion"/>
  </si>
  <si>
    <t>EO</t>
    <phoneticPr fontId="1" type="noConversion"/>
  </si>
  <si>
    <t>OE</t>
    <phoneticPr fontId="1" type="noConversion"/>
  </si>
  <si>
    <t>DD</t>
    <phoneticPr fontId="1" type="noConversion"/>
  </si>
  <si>
    <t>10월
마지막</t>
    <phoneticPr fontId="1" type="noConversion"/>
  </si>
  <si>
    <t>입사순</t>
    <phoneticPr fontId="1" type="noConversion"/>
  </si>
  <si>
    <t>9월마지막
군무</t>
    <phoneticPr fontId="1" type="noConversion"/>
  </si>
  <si>
    <r>
      <t xml:space="preserve">간호사 근무표(aa병동) -  2026년 10월(3-3-2) </t>
    </r>
    <r>
      <rPr>
        <b/>
        <sz val="10"/>
        <rFont val="함초롬돋움"/>
        <family val="3"/>
        <charset val="129"/>
      </rPr>
      <t>10월 오프 수:11개</t>
    </r>
    <phoneticPr fontId="1" type="noConversion"/>
  </si>
  <si>
    <r>
      <rPr>
        <sz val="11"/>
        <color theme="1"/>
        <rFont val="맑은 고딕"/>
        <family val="3"/>
        <charset val="129"/>
      </rPr>
      <t xml:space="preserve">♣15번 간호사 11월 1일 독립
</t>
    </r>
    <r>
      <rPr>
        <sz val="11"/>
        <color theme="1"/>
        <rFont val="맑은 고딕"/>
        <family val="2"/>
        <charset val="129"/>
        <scheme val="minor"/>
      </rPr>
      <t xml:space="preserve">♣ 1번 간호사 책임간호사 : 월~목 E, 금,토 O, 일 D 적용
♣ T : 노조교육
</t>
    </r>
    <r>
      <rPr>
        <sz val="11"/>
        <color theme="1"/>
        <rFont val="맑은 고딕"/>
        <family val="3"/>
        <charset val="129"/>
        <scheme val="minor"/>
      </rPr>
      <t>♣ 경력자별 색깔로 묶었으며 올드연차(초록)/중간연차(하늘)/ 아랫연차(분홍)에서 근무조 3-3-2을 위해 1명씩 D/E/N가 나와서 
    근무가 되어야 한다.
♣ 노란색은 신청근무 입니다.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</si>
</sst>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함초롬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theme="1"/>
      <name val="함초롬돋움"/>
      <family val="3"/>
      <charset val="129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함초롬돋움"/>
      <family val="3"/>
      <charset val="129"/>
    </font>
    <font>
      <b/>
      <sz val="7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함초롬돋움"/>
      <family val="3"/>
      <charset val="129"/>
    </font>
    <font>
      <sz val="11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49" fontId="7" fillId="5" borderId="8" xfId="0" applyNumberFormat="1" applyFont="1" applyFill="1" applyBorder="1" applyAlignment="1">
      <alignment horizontal="center" vertical="center" wrapText="1"/>
    </xf>
    <xf numFmtId="49" fontId="8" fillId="5" borderId="11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49" fontId="8" fillId="5" borderId="10" xfId="0" applyNumberFormat="1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center" vertical="center"/>
    </xf>
    <xf numFmtId="49" fontId="9" fillId="5" borderId="7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 wrapText="1"/>
    </xf>
    <xf numFmtId="49" fontId="9" fillId="5" borderId="10" xfId="0" applyNumberFormat="1" applyFont="1" applyFill="1" applyBorder="1" applyAlignment="1">
      <alignment horizontal="center" vertical="center" wrapText="1"/>
    </xf>
    <xf numFmtId="49" fontId="9" fillId="5" borderId="7" xfId="0" applyNumberFormat="1" applyFont="1" applyFill="1" applyBorder="1" applyAlignment="1">
      <alignment horizontal="center" vertical="center" wrapText="1"/>
    </xf>
    <xf numFmtId="49" fontId="8" fillId="5" borderId="14" xfId="0" applyNumberFormat="1" applyFont="1" applyFill="1" applyBorder="1" applyAlignment="1">
      <alignment horizontal="center" vertical="center"/>
    </xf>
    <xf numFmtId="49" fontId="11" fillId="5" borderId="7" xfId="0" applyNumberFormat="1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/>
    </xf>
    <xf numFmtId="49" fontId="7" fillId="6" borderId="8" xfId="0" applyNumberFormat="1" applyFont="1" applyFill="1" applyBorder="1" applyAlignment="1">
      <alignment horizontal="center" vertical="center" wrapText="1"/>
    </xf>
    <xf numFmtId="49" fontId="8" fillId="6" borderId="10" xfId="0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horizontal="left" vertical="center"/>
    </xf>
    <xf numFmtId="49" fontId="7" fillId="7" borderId="8" xfId="0" applyNumberFormat="1" applyFont="1" applyFill="1" applyBorder="1" applyAlignment="1">
      <alignment horizontal="center" vertical="center" wrapText="1"/>
    </xf>
    <xf numFmtId="49" fontId="8" fillId="7" borderId="10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left" vertical="center"/>
    </xf>
    <xf numFmtId="49" fontId="7" fillId="7" borderId="16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left" vertical="center"/>
    </xf>
    <xf numFmtId="49" fontId="7" fillId="7" borderId="19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18" xfId="0" applyNumberFormat="1" applyFont="1" applyFill="1" applyBorder="1" applyAlignment="1">
      <alignment horizontal="center" vertical="center" wrapText="1"/>
    </xf>
    <xf numFmtId="49" fontId="16" fillId="5" borderId="11" xfId="0" applyNumberFormat="1" applyFont="1" applyFill="1" applyBorder="1" applyAlignment="1">
      <alignment horizontal="center" vertical="center" wrapText="1"/>
    </xf>
    <xf numFmtId="49" fontId="16" fillId="4" borderId="11" xfId="0" applyNumberFormat="1" applyFont="1" applyFill="1" applyBorder="1" applyAlignment="1">
      <alignment horizontal="center" vertical="center" wrapText="1"/>
    </xf>
    <xf numFmtId="49" fontId="16" fillId="5" borderId="12" xfId="0" applyNumberFormat="1" applyFont="1" applyFill="1" applyBorder="1" applyAlignment="1">
      <alignment horizontal="center" vertical="center" wrapText="1"/>
    </xf>
    <xf numFmtId="49" fontId="16" fillId="4" borderId="12" xfId="0" applyNumberFormat="1" applyFont="1" applyFill="1" applyBorder="1" applyAlignment="1">
      <alignment horizontal="center" vertical="center" wrapText="1"/>
    </xf>
    <xf numFmtId="49" fontId="16" fillId="3" borderId="12" xfId="0" applyNumberFormat="1" applyFont="1" applyFill="1" applyBorder="1" applyAlignment="1">
      <alignment horizontal="center" vertical="center" wrapText="1"/>
    </xf>
    <xf numFmtId="49" fontId="16" fillId="5" borderId="10" xfId="0" applyNumberFormat="1" applyFont="1" applyFill="1" applyBorder="1" applyAlignment="1">
      <alignment horizontal="center" vertical="center" wrapText="1"/>
    </xf>
    <xf numFmtId="49" fontId="16" fillId="3" borderId="10" xfId="0" applyNumberFormat="1" applyFont="1" applyFill="1" applyBorder="1" applyAlignment="1">
      <alignment horizontal="center" vertical="center" wrapText="1"/>
    </xf>
    <xf numFmtId="49" fontId="16" fillId="4" borderId="7" xfId="0" applyNumberFormat="1" applyFont="1" applyFill="1" applyBorder="1" applyAlignment="1">
      <alignment horizontal="center" vertical="center" wrapText="1"/>
    </xf>
    <xf numFmtId="49" fontId="16" fillId="5" borderId="7" xfId="0" applyNumberFormat="1" applyFont="1" applyFill="1" applyBorder="1" applyAlignment="1">
      <alignment horizontal="center" vertical="center" wrapText="1"/>
    </xf>
    <xf numFmtId="49" fontId="16" fillId="5" borderId="7" xfId="0" applyNumberFormat="1" applyFont="1" applyFill="1" applyBorder="1" applyAlignment="1">
      <alignment horizontal="center" vertical="center"/>
    </xf>
    <xf numFmtId="49" fontId="16" fillId="3" borderId="7" xfId="0" applyNumberFormat="1" applyFont="1" applyFill="1" applyBorder="1" applyAlignment="1">
      <alignment horizontal="center" vertical="center"/>
    </xf>
    <xf numFmtId="49" fontId="16" fillId="4" borderId="7" xfId="0" applyNumberFormat="1" applyFont="1" applyFill="1" applyBorder="1" applyAlignment="1">
      <alignment horizontal="center" vertical="center"/>
    </xf>
    <xf numFmtId="49" fontId="16" fillId="5" borderId="13" xfId="0" applyNumberFormat="1" applyFont="1" applyFill="1" applyBorder="1" applyAlignment="1">
      <alignment horizontal="center" vertical="center" wrapText="1"/>
    </xf>
    <xf numFmtId="49" fontId="16" fillId="4" borderId="10" xfId="0" applyNumberFormat="1" applyFont="1" applyFill="1" applyBorder="1" applyAlignment="1">
      <alignment horizontal="center" vertical="center" wrapText="1"/>
    </xf>
    <xf numFmtId="49" fontId="16" fillId="5" borderId="14" xfId="0" applyNumberFormat="1" applyFont="1" applyFill="1" applyBorder="1" applyAlignment="1">
      <alignment horizontal="center" vertical="center"/>
    </xf>
    <xf numFmtId="49" fontId="16" fillId="4" borderId="14" xfId="0" applyNumberFormat="1" applyFont="1" applyFill="1" applyBorder="1" applyAlignment="1">
      <alignment horizontal="center" vertical="center"/>
    </xf>
    <xf numFmtId="49" fontId="16" fillId="3" borderId="7" xfId="0" applyNumberFormat="1" applyFont="1" applyFill="1" applyBorder="1" applyAlignment="1">
      <alignment horizontal="center" vertical="center" wrapText="1"/>
    </xf>
    <xf numFmtId="49" fontId="17" fillId="5" borderId="7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49" fontId="16" fillId="6" borderId="7" xfId="0" applyNumberFormat="1" applyFont="1" applyFill="1" applyBorder="1" applyAlignment="1">
      <alignment horizontal="center" vertical="center" wrapText="1"/>
    </xf>
    <xf numFmtId="49" fontId="18" fillId="3" borderId="7" xfId="0" applyNumberFormat="1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49" fontId="16" fillId="7" borderId="10" xfId="0" applyNumberFormat="1" applyFont="1" applyFill="1" applyBorder="1" applyAlignment="1">
      <alignment horizontal="center" vertical="center" wrapText="1"/>
    </xf>
    <xf numFmtId="49" fontId="16" fillId="7" borderId="17" xfId="0" applyNumberFormat="1" applyFont="1" applyFill="1" applyBorder="1" applyAlignment="1">
      <alignment horizontal="center" vertical="center" wrapText="1"/>
    </xf>
    <xf numFmtId="49" fontId="16" fillId="4" borderId="17" xfId="0" applyNumberFormat="1" applyFont="1" applyFill="1" applyBorder="1" applyAlignment="1">
      <alignment horizontal="center" vertical="center" wrapText="1"/>
    </xf>
    <xf numFmtId="49" fontId="16" fillId="4" borderId="15" xfId="0" applyNumberFormat="1" applyFont="1" applyFill="1" applyBorder="1" applyAlignment="1">
      <alignment horizontal="center" vertical="center" wrapText="1"/>
    </xf>
    <xf numFmtId="49" fontId="16" fillId="7" borderId="15" xfId="0" applyNumberFormat="1" applyFont="1" applyFill="1" applyBorder="1" applyAlignment="1">
      <alignment horizontal="center" vertical="center" wrapText="1"/>
    </xf>
    <xf numFmtId="49" fontId="16" fillId="3" borderId="15" xfId="0" applyNumberFormat="1" applyFont="1" applyFill="1" applyBorder="1" applyAlignment="1">
      <alignment horizontal="center" vertical="center" wrapText="1"/>
    </xf>
    <xf numFmtId="49" fontId="16" fillId="7" borderId="20" xfId="0" applyNumberFormat="1" applyFont="1" applyFill="1" applyBorder="1" applyAlignment="1">
      <alignment horizontal="center" vertical="center" wrapText="1"/>
    </xf>
    <xf numFmtId="49" fontId="16" fillId="7" borderId="18" xfId="0" applyNumberFormat="1" applyFont="1" applyFill="1" applyBorder="1" applyAlignment="1">
      <alignment horizontal="center" vertical="center" wrapText="1"/>
    </xf>
    <xf numFmtId="49" fontId="16" fillId="4" borderId="18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7" borderId="18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9" fillId="3" borderId="13" xfId="0" applyNumberFormat="1" applyFont="1" applyFill="1" applyBorder="1" applyAlignment="1">
      <alignment horizontal="center" vertical="center" wrapText="1"/>
    </xf>
    <xf numFmtId="49" fontId="9" fillId="3" borderId="10" xfId="0" applyNumberFormat="1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/>
    </xf>
    <xf numFmtId="49" fontId="9" fillId="3" borderId="12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2760-461F-4E35-B383-8AE29A00844E}">
  <dimension ref="A1:AM26"/>
  <sheetViews>
    <sheetView workbookViewId="0">
      <selection activeCell="AO10" sqref="AO10"/>
    </sheetView>
  </sheetViews>
  <sheetFormatPr defaultRowHeight="16.5"/>
  <cols>
    <col min="1" max="1" width="6" customWidth="1"/>
    <col min="3" max="3" width="5.875" customWidth="1"/>
    <col min="4" max="39" width="3" customWidth="1"/>
  </cols>
  <sheetData>
    <row r="1" spans="1:39" ht="22.5" thickBot="1">
      <c r="A1" s="1"/>
      <c r="B1" s="2"/>
      <c r="C1" s="2"/>
      <c r="D1" s="116" t="s">
        <v>63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3"/>
      <c r="AM1" s="3"/>
    </row>
    <row r="2" spans="1:39" ht="17.25" thickBot="1">
      <c r="A2" s="118" t="s">
        <v>55</v>
      </c>
      <c r="B2" s="120" t="s">
        <v>61</v>
      </c>
      <c r="C2" s="122" t="s">
        <v>62</v>
      </c>
      <c r="D2" s="4">
        <v>1</v>
      </c>
      <c r="E2" s="4">
        <v>2</v>
      </c>
      <c r="F2" s="6">
        <v>3</v>
      </c>
      <c r="G2" s="6">
        <v>4</v>
      </c>
      <c r="H2" s="4">
        <v>5</v>
      </c>
      <c r="I2" s="4">
        <v>6</v>
      </c>
      <c r="J2" s="4">
        <v>7</v>
      </c>
      <c r="K2" s="4">
        <v>8</v>
      </c>
      <c r="L2" s="6">
        <v>9</v>
      </c>
      <c r="M2" s="6">
        <v>10</v>
      </c>
      <c r="N2" s="6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6">
        <v>17</v>
      </c>
      <c r="U2" s="6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6">
        <v>24</v>
      </c>
      <c r="AB2" s="6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105">
        <v>31</v>
      </c>
      <c r="AI2" s="109" t="s">
        <v>1</v>
      </c>
      <c r="AJ2" s="110" t="s">
        <v>2</v>
      </c>
      <c r="AK2" s="110" t="s">
        <v>3</v>
      </c>
      <c r="AL2" s="110" t="s">
        <v>4</v>
      </c>
      <c r="AM2" s="111">
        <v>11</v>
      </c>
    </row>
    <row r="3" spans="1:39">
      <c r="A3" s="119"/>
      <c r="B3" s="121"/>
      <c r="C3" s="123"/>
      <c r="D3" s="11" t="s">
        <v>40</v>
      </c>
      <c r="E3" s="11" t="s">
        <v>41</v>
      </c>
      <c r="F3" s="12" t="s">
        <v>42</v>
      </c>
      <c r="G3" s="12" t="s">
        <v>12</v>
      </c>
      <c r="H3" s="11" t="s">
        <v>13</v>
      </c>
      <c r="I3" s="11" t="s">
        <v>43</v>
      </c>
      <c r="J3" s="11" t="s">
        <v>44</v>
      </c>
      <c r="K3" s="11" t="s">
        <v>40</v>
      </c>
      <c r="L3" s="12" t="s">
        <v>41</v>
      </c>
      <c r="M3" s="12" t="s">
        <v>42</v>
      </c>
      <c r="N3" s="12" t="s">
        <v>12</v>
      </c>
      <c r="O3" s="11" t="s">
        <v>13</v>
      </c>
      <c r="P3" s="11" t="s">
        <v>43</v>
      </c>
      <c r="Q3" s="11" t="s">
        <v>44</v>
      </c>
      <c r="R3" s="11" t="s">
        <v>40</v>
      </c>
      <c r="S3" s="11" t="s">
        <v>41</v>
      </c>
      <c r="T3" s="12" t="s">
        <v>42</v>
      </c>
      <c r="U3" s="12" t="s">
        <v>12</v>
      </c>
      <c r="V3" s="11" t="s">
        <v>13</v>
      </c>
      <c r="W3" s="11" t="s">
        <v>43</v>
      </c>
      <c r="X3" s="11" t="s">
        <v>44</v>
      </c>
      <c r="Y3" s="11" t="s">
        <v>40</v>
      </c>
      <c r="Z3" s="11" t="s">
        <v>41</v>
      </c>
      <c r="AA3" s="12" t="s">
        <v>42</v>
      </c>
      <c r="AB3" s="12" t="s">
        <v>12</v>
      </c>
      <c r="AC3" s="11" t="s">
        <v>13</v>
      </c>
      <c r="AD3" s="11" t="s">
        <v>43</v>
      </c>
      <c r="AE3" s="11" t="s">
        <v>44</v>
      </c>
      <c r="AF3" s="11" t="s">
        <v>40</v>
      </c>
      <c r="AG3" s="11" t="s">
        <v>41</v>
      </c>
      <c r="AH3" s="12" t="s">
        <v>42</v>
      </c>
      <c r="AI3" s="106"/>
      <c r="AJ3" s="107"/>
      <c r="AK3" s="107"/>
      <c r="AL3" s="107"/>
      <c r="AM3" s="108">
        <f>AU14</f>
        <v>0</v>
      </c>
    </row>
    <row r="4" spans="1:39">
      <c r="A4" s="95">
        <v>1</v>
      </c>
      <c r="B4" s="100">
        <v>406</v>
      </c>
      <c r="C4" s="112" t="s">
        <v>57</v>
      </c>
      <c r="D4" s="64" t="s">
        <v>2</v>
      </c>
      <c r="E4" s="64" t="s">
        <v>15</v>
      </c>
      <c r="F4" s="65" t="s">
        <v>15</v>
      </c>
      <c r="G4" s="65" t="s">
        <v>1</v>
      </c>
      <c r="H4" s="66" t="s">
        <v>2</v>
      </c>
      <c r="I4" s="66" t="s">
        <v>2</v>
      </c>
      <c r="J4" s="66" t="s">
        <v>15</v>
      </c>
      <c r="K4" s="66" t="s">
        <v>2</v>
      </c>
      <c r="L4" s="67" t="s">
        <v>2</v>
      </c>
      <c r="M4" s="68" t="s">
        <v>15</v>
      </c>
      <c r="N4" s="68" t="s">
        <v>15</v>
      </c>
      <c r="O4" s="66" t="s">
        <v>2</v>
      </c>
      <c r="P4" s="66" t="s">
        <v>2</v>
      </c>
      <c r="Q4" s="66" t="s">
        <v>2</v>
      </c>
      <c r="R4" s="66" t="s">
        <v>2</v>
      </c>
      <c r="S4" s="66" t="s">
        <v>15</v>
      </c>
      <c r="T4" s="67" t="s">
        <v>15</v>
      </c>
      <c r="U4" s="67" t="s">
        <v>1</v>
      </c>
      <c r="V4" s="66" t="s">
        <v>2</v>
      </c>
      <c r="W4" s="66" t="s">
        <v>2</v>
      </c>
      <c r="X4" s="66" t="s">
        <v>2</v>
      </c>
      <c r="Y4" s="66" t="s">
        <v>2</v>
      </c>
      <c r="Z4" s="66" t="s">
        <v>15</v>
      </c>
      <c r="AA4" s="67" t="s">
        <v>15</v>
      </c>
      <c r="AB4" s="67" t="s">
        <v>1</v>
      </c>
      <c r="AC4" s="66" t="s">
        <v>2</v>
      </c>
      <c r="AD4" s="66" t="s">
        <v>2</v>
      </c>
      <c r="AE4" s="66" t="s">
        <v>2</v>
      </c>
      <c r="AF4" s="66" t="s">
        <v>2</v>
      </c>
      <c r="AG4" s="68" t="s">
        <v>15</v>
      </c>
      <c r="AH4" s="68" t="s">
        <v>15</v>
      </c>
      <c r="AI4" s="26">
        <f>COUNTIF(D4:AH4,"D")</f>
        <v>3</v>
      </c>
      <c r="AJ4" s="27">
        <f>COUNTIF(D4:AH4,"E")</f>
        <v>17</v>
      </c>
      <c r="AK4" s="27">
        <f>COUNTIF(D4:AH4,"N")</f>
        <v>0</v>
      </c>
      <c r="AL4" s="27">
        <f>COUNTIF(D4:AH4,"P")</f>
        <v>0</v>
      </c>
      <c r="AM4" s="28">
        <f>COUNTIF(D4:AH4,"O")</f>
        <v>11</v>
      </c>
    </row>
    <row r="5" spans="1:39">
      <c r="A5" s="95">
        <v>2</v>
      </c>
      <c r="B5" s="100" t="s">
        <v>29</v>
      </c>
      <c r="C5" s="113" t="s">
        <v>21</v>
      </c>
      <c r="D5" s="69" t="s">
        <v>3</v>
      </c>
      <c r="E5" s="69" t="s">
        <v>3</v>
      </c>
      <c r="F5" s="70" t="s">
        <v>15</v>
      </c>
      <c r="G5" s="71" t="s">
        <v>15</v>
      </c>
      <c r="H5" s="72" t="s">
        <v>1</v>
      </c>
      <c r="I5" s="73" t="s">
        <v>46</v>
      </c>
      <c r="J5" s="74" t="s">
        <v>15</v>
      </c>
      <c r="K5" s="73" t="s">
        <v>15</v>
      </c>
      <c r="L5" s="75" t="s">
        <v>2</v>
      </c>
      <c r="M5" s="75" t="s">
        <v>2</v>
      </c>
      <c r="N5" s="75" t="s">
        <v>45</v>
      </c>
      <c r="O5" s="73" t="s">
        <v>2</v>
      </c>
      <c r="P5" s="72" t="s">
        <v>2</v>
      </c>
      <c r="Q5" s="72" t="s">
        <v>15</v>
      </c>
      <c r="R5" s="72" t="s">
        <v>15</v>
      </c>
      <c r="S5" s="73" t="s">
        <v>1</v>
      </c>
      <c r="T5" s="75" t="s">
        <v>1</v>
      </c>
      <c r="U5" s="71" t="s">
        <v>15</v>
      </c>
      <c r="V5" s="72" t="s">
        <v>1</v>
      </c>
      <c r="W5" s="73" t="s">
        <v>1</v>
      </c>
      <c r="X5" s="73" t="s">
        <v>15</v>
      </c>
      <c r="Y5" s="73" t="s">
        <v>20</v>
      </c>
      <c r="Z5" s="73" t="s">
        <v>3</v>
      </c>
      <c r="AA5" s="75" t="s">
        <v>3</v>
      </c>
      <c r="AB5" s="75" t="s">
        <v>3</v>
      </c>
      <c r="AC5" s="73" t="s">
        <v>15</v>
      </c>
      <c r="AD5" s="73" t="s">
        <v>15</v>
      </c>
      <c r="AE5" s="73" t="s">
        <v>15</v>
      </c>
      <c r="AF5" s="73" t="s">
        <v>1</v>
      </c>
      <c r="AG5" s="73" t="s">
        <v>1</v>
      </c>
      <c r="AH5" s="75" t="s">
        <v>1</v>
      </c>
      <c r="AI5" s="26">
        <f t="shared" ref="AI5:AI18" si="0">COUNTIF(D5:AH5,"D")</f>
        <v>8</v>
      </c>
      <c r="AJ5" s="27">
        <f t="shared" ref="AJ5:AJ18" si="1">COUNTIF(D5:AH5,"E")</f>
        <v>4</v>
      </c>
      <c r="AK5" s="27">
        <f t="shared" ref="AK5:AK18" si="2">COUNTIF(D5:AH5,"N")</f>
        <v>5</v>
      </c>
      <c r="AL5" s="27">
        <f t="shared" ref="AL5:AL18" si="3">COUNTIF(D5:AH5,"P")</f>
        <v>0</v>
      </c>
      <c r="AM5" s="28">
        <f t="shared" ref="AM5:AM18" si="4">COUNTIF(D5:AH5,"O")</f>
        <v>11</v>
      </c>
    </row>
    <row r="6" spans="1:39">
      <c r="A6" s="95">
        <v>3</v>
      </c>
      <c r="B6" s="100" t="s">
        <v>30</v>
      </c>
      <c r="C6" s="112" t="s">
        <v>57</v>
      </c>
      <c r="D6" s="76" t="s">
        <v>1</v>
      </c>
      <c r="E6" s="69" t="s">
        <v>3</v>
      </c>
      <c r="F6" s="77" t="s">
        <v>3</v>
      </c>
      <c r="G6" s="71" t="s">
        <v>3</v>
      </c>
      <c r="H6" s="72" t="s">
        <v>15</v>
      </c>
      <c r="I6" s="73" t="s">
        <v>15</v>
      </c>
      <c r="J6" s="73" t="s">
        <v>1</v>
      </c>
      <c r="K6" s="78" t="s">
        <v>1</v>
      </c>
      <c r="L6" s="79" t="s">
        <v>15</v>
      </c>
      <c r="M6" s="79" t="s">
        <v>15</v>
      </c>
      <c r="N6" s="75" t="s">
        <v>1</v>
      </c>
      <c r="O6" s="73" t="s">
        <v>1</v>
      </c>
      <c r="P6" s="73" t="s">
        <v>15</v>
      </c>
      <c r="Q6" s="72" t="s">
        <v>3</v>
      </c>
      <c r="R6" s="72" t="s">
        <v>3</v>
      </c>
      <c r="S6" s="73" t="s">
        <v>15</v>
      </c>
      <c r="T6" s="75" t="s">
        <v>15</v>
      </c>
      <c r="U6" s="71" t="s">
        <v>2</v>
      </c>
      <c r="V6" s="71" t="s">
        <v>2</v>
      </c>
      <c r="W6" s="71" t="s">
        <v>2</v>
      </c>
      <c r="X6" s="71" t="s">
        <v>2</v>
      </c>
      <c r="Y6" s="71" t="s">
        <v>2</v>
      </c>
      <c r="Z6" s="73" t="s">
        <v>15</v>
      </c>
      <c r="AA6" s="75" t="s">
        <v>15</v>
      </c>
      <c r="AB6" s="74" t="s">
        <v>15</v>
      </c>
      <c r="AC6" s="73" t="s">
        <v>47</v>
      </c>
      <c r="AD6" s="73" t="s">
        <v>47</v>
      </c>
      <c r="AE6" s="73" t="s">
        <v>47</v>
      </c>
      <c r="AF6" s="73" t="s">
        <v>47</v>
      </c>
      <c r="AG6" s="73" t="s">
        <v>47</v>
      </c>
      <c r="AH6" s="74" t="s">
        <v>15</v>
      </c>
      <c r="AI6" s="26">
        <f t="shared" si="0"/>
        <v>5</v>
      </c>
      <c r="AJ6" s="27">
        <f t="shared" si="1"/>
        <v>5</v>
      </c>
      <c r="AK6" s="27">
        <f t="shared" si="2"/>
        <v>5</v>
      </c>
      <c r="AL6" s="27">
        <f t="shared" si="3"/>
        <v>0</v>
      </c>
      <c r="AM6" s="28">
        <f t="shared" si="4"/>
        <v>11</v>
      </c>
    </row>
    <row r="7" spans="1:39">
      <c r="A7" s="95">
        <v>4</v>
      </c>
      <c r="B7" s="100" t="s">
        <v>31</v>
      </c>
      <c r="C7" s="112" t="s">
        <v>58</v>
      </c>
      <c r="D7" s="76" t="s">
        <v>2</v>
      </c>
      <c r="E7" s="69" t="s">
        <v>2</v>
      </c>
      <c r="F7" s="70" t="s">
        <v>15</v>
      </c>
      <c r="G7" s="80" t="s">
        <v>15</v>
      </c>
      <c r="H7" s="80" t="s">
        <v>15</v>
      </c>
      <c r="I7" s="73" t="s">
        <v>1</v>
      </c>
      <c r="J7" s="73" t="s">
        <v>3</v>
      </c>
      <c r="K7" s="78" t="s">
        <v>3</v>
      </c>
      <c r="L7" s="79" t="s">
        <v>15</v>
      </c>
      <c r="M7" s="79" t="s">
        <v>15</v>
      </c>
      <c r="N7" s="75" t="s">
        <v>1</v>
      </c>
      <c r="O7" s="73" t="s">
        <v>1</v>
      </c>
      <c r="P7" s="73" t="s">
        <v>1</v>
      </c>
      <c r="Q7" s="72" t="s">
        <v>15</v>
      </c>
      <c r="R7" s="72" t="s">
        <v>1</v>
      </c>
      <c r="S7" s="73" t="s">
        <v>2</v>
      </c>
      <c r="T7" s="75" t="s">
        <v>2</v>
      </c>
      <c r="U7" s="71" t="s">
        <v>3</v>
      </c>
      <c r="V7" s="72" t="s">
        <v>3</v>
      </c>
      <c r="W7" s="73" t="s">
        <v>15</v>
      </c>
      <c r="X7" s="73" t="s">
        <v>15</v>
      </c>
      <c r="Y7" s="73" t="s">
        <v>1</v>
      </c>
      <c r="Z7" s="73" t="s">
        <v>1</v>
      </c>
      <c r="AA7" s="75" t="s">
        <v>1</v>
      </c>
      <c r="AB7" s="75" t="s">
        <v>2</v>
      </c>
      <c r="AC7" s="73" t="s">
        <v>2</v>
      </c>
      <c r="AD7" s="73" t="s">
        <v>15</v>
      </c>
      <c r="AE7" s="73" t="s">
        <v>3</v>
      </c>
      <c r="AF7" s="73" t="s">
        <v>3</v>
      </c>
      <c r="AG7" s="73" t="s">
        <v>15</v>
      </c>
      <c r="AH7" s="75" t="s">
        <v>15</v>
      </c>
      <c r="AI7" s="26"/>
      <c r="AJ7" s="27"/>
      <c r="AK7" s="27"/>
      <c r="AL7" s="27"/>
      <c r="AM7" s="28"/>
    </row>
    <row r="8" spans="1:39">
      <c r="A8" s="95">
        <v>5</v>
      </c>
      <c r="B8" s="100" t="s">
        <v>32</v>
      </c>
      <c r="C8" s="112" t="s">
        <v>14</v>
      </c>
      <c r="D8" s="76" t="s">
        <v>15</v>
      </c>
      <c r="E8" s="69" t="s">
        <v>1</v>
      </c>
      <c r="F8" s="71" t="s">
        <v>1</v>
      </c>
      <c r="G8" s="71" t="s">
        <v>2</v>
      </c>
      <c r="H8" s="72" t="s">
        <v>2</v>
      </c>
      <c r="I8" s="72" t="s">
        <v>15</v>
      </c>
      <c r="J8" s="72" t="s">
        <v>15</v>
      </c>
      <c r="K8" s="72" t="s">
        <v>1</v>
      </c>
      <c r="L8" s="71" t="s">
        <v>3</v>
      </c>
      <c r="M8" s="71" t="s">
        <v>3</v>
      </c>
      <c r="N8" s="71" t="s">
        <v>15</v>
      </c>
      <c r="O8" s="72" t="s">
        <v>15</v>
      </c>
      <c r="P8" s="72" t="s">
        <v>1</v>
      </c>
      <c r="Q8" s="72" t="s">
        <v>1</v>
      </c>
      <c r="R8" s="72" t="s">
        <v>1</v>
      </c>
      <c r="S8" s="72" t="s">
        <v>3</v>
      </c>
      <c r="T8" s="71" t="s">
        <v>3</v>
      </c>
      <c r="U8" s="71" t="s">
        <v>15</v>
      </c>
      <c r="V8" s="81" t="s">
        <v>15</v>
      </c>
      <c r="W8" s="72" t="s">
        <v>15</v>
      </c>
      <c r="X8" s="72" t="s">
        <v>1</v>
      </c>
      <c r="Y8" s="81" t="s">
        <v>2</v>
      </c>
      <c r="Z8" s="72" t="s">
        <v>2</v>
      </c>
      <c r="AA8" s="71" t="s">
        <v>2</v>
      </c>
      <c r="AB8" s="71" t="s">
        <v>15</v>
      </c>
      <c r="AC8" s="72" t="s">
        <v>3</v>
      </c>
      <c r="AD8" s="72" t="s">
        <v>3</v>
      </c>
      <c r="AE8" s="72" t="s">
        <v>15</v>
      </c>
      <c r="AF8" s="72" t="s">
        <v>15</v>
      </c>
      <c r="AG8" s="72" t="s">
        <v>49</v>
      </c>
      <c r="AH8" s="71" t="s">
        <v>48</v>
      </c>
      <c r="AI8" s="26">
        <f t="shared" si="0"/>
        <v>7</v>
      </c>
      <c r="AJ8" s="27">
        <f t="shared" si="1"/>
        <v>5</v>
      </c>
      <c r="AK8" s="27">
        <f t="shared" si="2"/>
        <v>6</v>
      </c>
      <c r="AL8" s="27">
        <f t="shared" si="3"/>
        <v>0</v>
      </c>
      <c r="AM8" s="28">
        <f t="shared" si="4"/>
        <v>11</v>
      </c>
    </row>
    <row r="9" spans="1:39">
      <c r="A9" s="95">
        <v>6</v>
      </c>
      <c r="B9" s="101" t="s">
        <v>33</v>
      </c>
      <c r="C9" s="113" t="s">
        <v>59</v>
      </c>
      <c r="D9" s="82" t="s">
        <v>1</v>
      </c>
      <c r="E9" s="82" t="s">
        <v>1</v>
      </c>
      <c r="F9" s="80" t="s">
        <v>15</v>
      </c>
      <c r="G9" s="80" t="s">
        <v>15</v>
      </c>
      <c r="H9" s="83" t="s">
        <v>3</v>
      </c>
      <c r="I9" s="83" t="s">
        <v>3</v>
      </c>
      <c r="J9" s="83" t="s">
        <v>15</v>
      </c>
      <c r="K9" s="83" t="s">
        <v>15</v>
      </c>
      <c r="L9" s="71" t="s">
        <v>1</v>
      </c>
      <c r="M9" s="71" t="s">
        <v>1</v>
      </c>
      <c r="N9" s="71" t="s">
        <v>2</v>
      </c>
      <c r="O9" s="83" t="s">
        <v>2</v>
      </c>
      <c r="P9" s="83" t="s">
        <v>15</v>
      </c>
      <c r="Q9" s="83" t="s">
        <v>2</v>
      </c>
      <c r="R9" s="83" t="s">
        <v>2</v>
      </c>
      <c r="S9" s="83" t="s">
        <v>2</v>
      </c>
      <c r="T9" s="71" t="s">
        <v>2</v>
      </c>
      <c r="U9" s="71" t="s">
        <v>15</v>
      </c>
      <c r="V9" s="83" t="s">
        <v>15</v>
      </c>
      <c r="W9" s="83" t="s">
        <v>3</v>
      </c>
      <c r="X9" s="83" t="s">
        <v>3</v>
      </c>
      <c r="Y9" s="83" t="s">
        <v>3</v>
      </c>
      <c r="Z9" s="83" t="s">
        <v>15</v>
      </c>
      <c r="AA9" s="80" t="s">
        <v>15</v>
      </c>
      <c r="AB9" s="80" t="s">
        <v>15</v>
      </c>
      <c r="AC9" s="83" t="s">
        <v>1</v>
      </c>
      <c r="AD9" s="83" t="s">
        <v>1</v>
      </c>
      <c r="AE9" s="83" t="s">
        <v>1</v>
      </c>
      <c r="AF9" s="83" t="s">
        <v>15</v>
      </c>
      <c r="AG9" s="83" t="s">
        <v>2</v>
      </c>
      <c r="AH9" s="71" t="s">
        <v>2</v>
      </c>
      <c r="AI9" s="43">
        <f t="shared" si="0"/>
        <v>7</v>
      </c>
      <c r="AJ9" s="44">
        <f t="shared" si="1"/>
        <v>8</v>
      </c>
      <c r="AK9" s="44">
        <f t="shared" si="2"/>
        <v>5</v>
      </c>
      <c r="AL9" s="44">
        <f t="shared" si="3"/>
        <v>0</v>
      </c>
      <c r="AM9" s="45">
        <f t="shared" si="4"/>
        <v>11</v>
      </c>
    </row>
    <row r="10" spans="1:39">
      <c r="A10" s="95">
        <v>7</v>
      </c>
      <c r="B10" s="101" t="s">
        <v>34</v>
      </c>
      <c r="C10" s="113" t="s">
        <v>18</v>
      </c>
      <c r="D10" s="82" t="s">
        <v>15</v>
      </c>
      <c r="E10" s="82" t="s">
        <v>15</v>
      </c>
      <c r="F10" s="80" t="s">
        <v>2</v>
      </c>
      <c r="G10" s="71" t="s">
        <v>2</v>
      </c>
      <c r="H10" s="83" t="s">
        <v>15</v>
      </c>
      <c r="I10" s="83" t="s">
        <v>2</v>
      </c>
      <c r="J10" s="83" t="s">
        <v>2</v>
      </c>
      <c r="K10" s="83" t="s">
        <v>2</v>
      </c>
      <c r="L10" s="80" t="s">
        <v>15</v>
      </c>
      <c r="M10" s="80" t="s">
        <v>15</v>
      </c>
      <c r="N10" s="71" t="s">
        <v>3</v>
      </c>
      <c r="O10" s="83" t="s">
        <v>3</v>
      </c>
      <c r="P10" s="83" t="s">
        <v>3</v>
      </c>
      <c r="Q10" s="83" t="s">
        <v>15</v>
      </c>
      <c r="R10" s="83" t="s">
        <v>15</v>
      </c>
      <c r="S10" s="84" t="s">
        <v>20</v>
      </c>
      <c r="T10" s="80" t="s">
        <v>15</v>
      </c>
      <c r="U10" s="80" t="s">
        <v>15</v>
      </c>
      <c r="V10" s="83" t="s">
        <v>1</v>
      </c>
      <c r="W10" s="83" t="s">
        <v>1</v>
      </c>
      <c r="X10" s="83" t="s">
        <v>1</v>
      </c>
      <c r="Y10" s="83" t="s">
        <v>1</v>
      </c>
      <c r="Z10" s="83" t="s">
        <v>1</v>
      </c>
      <c r="AA10" s="80" t="s">
        <v>15</v>
      </c>
      <c r="AB10" s="71" t="s">
        <v>1</v>
      </c>
      <c r="AC10" s="83" t="s">
        <v>1</v>
      </c>
      <c r="AD10" s="83" t="s">
        <v>1</v>
      </c>
      <c r="AE10" s="83" t="s">
        <v>2</v>
      </c>
      <c r="AF10" s="83" t="s">
        <v>15</v>
      </c>
      <c r="AG10" s="83" t="s">
        <v>3</v>
      </c>
      <c r="AH10" s="71" t="s">
        <v>3</v>
      </c>
      <c r="AI10" s="43">
        <f t="shared" si="0"/>
        <v>8</v>
      </c>
      <c r="AJ10" s="44">
        <f t="shared" si="1"/>
        <v>6</v>
      </c>
      <c r="AK10" s="44">
        <f t="shared" si="2"/>
        <v>5</v>
      </c>
      <c r="AL10" s="44">
        <f t="shared" si="3"/>
        <v>0</v>
      </c>
      <c r="AM10" s="45">
        <f t="shared" si="4"/>
        <v>11</v>
      </c>
    </row>
    <row r="11" spans="1:39">
      <c r="A11" s="95">
        <v>8</v>
      </c>
      <c r="B11" s="101" t="s">
        <v>35</v>
      </c>
      <c r="C11" s="113" t="s">
        <v>14</v>
      </c>
      <c r="D11" s="82" t="s">
        <v>1</v>
      </c>
      <c r="E11" s="83" t="s">
        <v>2</v>
      </c>
      <c r="F11" s="71" t="s">
        <v>2</v>
      </c>
      <c r="G11" s="71" t="s">
        <v>2</v>
      </c>
      <c r="H11" s="83" t="s">
        <v>15</v>
      </c>
      <c r="I11" s="83" t="s">
        <v>15</v>
      </c>
      <c r="J11" s="83" t="s">
        <v>1</v>
      </c>
      <c r="K11" s="83" t="s">
        <v>1</v>
      </c>
      <c r="L11" s="80" t="s">
        <v>15</v>
      </c>
      <c r="M11" s="71" t="s">
        <v>1</v>
      </c>
      <c r="N11" s="71" t="s">
        <v>3</v>
      </c>
      <c r="O11" s="83" t="s">
        <v>3</v>
      </c>
      <c r="P11" s="83" t="s">
        <v>3</v>
      </c>
      <c r="Q11" s="83" t="s">
        <v>15</v>
      </c>
      <c r="R11" s="83" t="s">
        <v>15</v>
      </c>
      <c r="S11" s="83" t="s">
        <v>1</v>
      </c>
      <c r="T11" s="71" t="s">
        <v>1</v>
      </c>
      <c r="U11" s="71" t="s">
        <v>2</v>
      </c>
      <c r="V11" s="83" t="s">
        <v>2</v>
      </c>
      <c r="W11" s="83" t="s">
        <v>15</v>
      </c>
      <c r="X11" s="83" t="s">
        <v>20</v>
      </c>
      <c r="Y11" s="83" t="s">
        <v>15</v>
      </c>
      <c r="Z11" s="83" t="s">
        <v>3</v>
      </c>
      <c r="AA11" s="71" t="s">
        <v>3</v>
      </c>
      <c r="AB11" s="71" t="s">
        <v>15</v>
      </c>
      <c r="AC11" s="83" t="s">
        <v>15</v>
      </c>
      <c r="AD11" s="83" t="s">
        <v>15</v>
      </c>
      <c r="AE11" s="83" t="s">
        <v>1</v>
      </c>
      <c r="AF11" s="83" t="s">
        <v>2</v>
      </c>
      <c r="AG11" s="80" t="s">
        <v>15</v>
      </c>
      <c r="AH11" s="80" t="s">
        <v>3</v>
      </c>
      <c r="AI11" s="43">
        <f t="shared" si="0"/>
        <v>7</v>
      </c>
      <c r="AJ11" s="44">
        <f t="shared" si="1"/>
        <v>6</v>
      </c>
      <c r="AK11" s="44">
        <f t="shared" si="2"/>
        <v>6</v>
      </c>
      <c r="AL11" s="44">
        <f t="shared" si="3"/>
        <v>0</v>
      </c>
      <c r="AM11" s="45">
        <f t="shared" si="4"/>
        <v>11</v>
      </c>
    </row>
    <row r="12" spans="1:39">
      <c r="A12" s="95">
        <v>9</v>
      </c>
      <c r="B12" s="101" t="s">
        <v>36</v>
      </c>
      <c r="C12" s="113" t="s">
        <v>18</v>
      </c>
      <c r="D12" s="82" t="s">
        <v>15</v>
      </c>
      <c r="E12" s="82" t="s">
        <v>15</v>
      </c>
      <c r="F12" s="77" t="s">
        <v>1</v>
      </c>
      <c r="G12" s="71" t="s">
        <v>1</v>
      </c>
      <c r="H12" s="83" t="s">
        <v>1</v>
      </c>
      <c r="I12" s="83" t="s">
        <v>2</v>
      </c>
      <c r="J12" s="83" t="s">
        <v>2</v>
      </c>
      <c r="K12" s="83" t="s">
        <v>15</v>
      </c>
      <c r="L12" s="80" t="s">
        <v>1</v>
      </c>
      <c r="M12" s="80" t="s">
        <v>15</v>
      </c>
      <c r="N12" s="80" t="s">
        <v>15</v>
      </c>
      <c r="O12" s="80" t="s">
        <v>50</v>
      </c>
      <c r="P12" s="80" t="s">
        <v>50</v>
      </c>
      <c r="Q12" s="83" t="s">
        <v>1</v>
      </c>
      <c r="R12" s="83" t="s">
        <v>2</v>
      </c>
      <c r="S12" s="83" t="s">
        <v>3</v>
      </c>
      <c r="T12" s="71" t="s">
        <v>3</v>
      </c>
      <c r="U12" s="71" t="s">
        <v>15</v>
      </c>
      <c r="V12" s="83" t="s">
        <v>15</v>
      </c>
      <c r="W12" s="83" t="s">
        <v>2</v>
      </c>
      <c r="X12" s="83" t="s">
        <v>2</v>
      </c>
      <c r="Y12" s="83" t="s">
        <v>15</v>
      </c>
      <c r="Z12" s="83" t="s">
        <v>15</v>
      </c>
      <c r="AA12" s="71" t="s">
        <v>1</v>
      </c>
      <c r="AB12" s="71" t="s">
        <v>3</v>
      </c>
      <c r="AC12" s="83" t="s">
        <v>3</v>
      </c>
      <c r="AD12" s="83" t="s">
        <v>3</v>
      </c>
      <c r="AE12" s="83" t="s">
        <v>15</v>
      </c>
      <c r="AF12" s="83" t="s">
        <v>15</v>
      </c>
      <c r="AG12" s="83" t="s">
        <v>2</v>
      </c>
      <c r="AH12" s="71" t="s">
        <v>2</v>
      </c>
      <c r="AI12" s="43">
        <f t="shared" si="0"/>
        <v>6</v>
      </c>
      <c r="AJ12" s="44">
        <f t="shared" si="1"/>
        <v>7</v>
      </c>
      <c r="AK12" s="44">
        <f t="shared" si="2"/>
        <v>5</v>
      </c>
      <c r="AL12" s="44">
        <f t="shared" si="3"/>
        <v>0</v>
      </c>
      <c r="AM12" s="45">
        <f t="shared" si="4"/>
        <v>11</v>
      </c>
    </row>
    <row r="13" spans="1:39">
      <c r="A13" s="95">
        <v>10</v>
      </c>
      <c r="B13" s="101" t="s">
        <v>37</v>
      </c>
      <c r="C13" s="113" t="s">
        <v>58</v>
      </c>
      <c r="D13" s="82" t="s">
        <v>3</v>
      </c>
      <c r="E13" s="82" t="s">
        <v>3</v>
      </c>
      <c r="F13" s="77" t="s">
        <v>15</v>
      </c>
      <c r="G13" s="77" t="s">
        <v>15</v>
      </c>
      <c r="H13" s="83" t="s">
        <v>1</v>
      </c>
      <c r="I13" s="83" t="s">
        <v>1</v>
      </c>
      <c r="J13" s="83" t="s">
        <v>1</v>
      </c>
      <c r="K13" s="82" t="s">
        <v>15</v>
      </c>
      <c r="L13" s="77" t="s">
        <v>1</v>
      </c>
      <c r="M13" s="77" t="s">
        <v>2</v>
      </c>
      <c r="N13" s="77" t="s">
        <v>2</v>
      </c>
      <c r="O13" s="80" t="s">
        <v>15</v>
      </c>
      <c r="P13" s="80" t="s">
        <v>15</v>
      </c>
      <c r="Q13" s="83" t="s">
        <v>3</v>
      </c>
      <c r="R13" s="83" t="s">
        <v>3</v>
      </c>
      <c r="S13" s="83" t="s">
        <v>15</v>
      </c>
      <c r="T13" s="71" t="s">
        <v>15</v>
      </c>
      <c r="U13" s="71" t="s">
        <v>1</v>
      </c>
      <c r="V13" s="83" t="s">
        <v>1</v>
      </c>
      <c r="W13" s="83" t="s">
        <v>1</v>
      </c>
      <c r="X13" s="83" t="s">
        <v>1</v>
      </c>
      <c r="Y13" s="83" t="s">
        <v>15</v>
      </c>
      <c r="Z13" s="83" t="s">
        <v>2</v>
      </c>
      <c r="AA13" s="80" t="s">
        <v>2</v>
      </c>
      <c r="AB13" s="71" t="s">
        <v>2</v>
      </c>
      <c r="AC13" s="83" t="s">
        <v>15</v>
      </c>
      <c r="AD13" s="83" t="s">
        <v>2</v>
      </c>
      <c r="AE13" s="83" t="s">
        <v>3</v>
      </c>
      <c r="AF13" s="83" t="s">
        <v>15</v>
      </c>
      <c r="AG13" s="83" t="s">
        <v>15</v>
      </c>
      <c r="AH13" s="71" t="s">
        <v>1</v>
      </c>
      <c r="AI13" s="43">
        <f t="shared" si="0"/>
        <v>9</v>
      </c>
      <c r="AJ13" s="44">
        <f t="shared" si="1"/>
        <v>6</v>
      </c>
      <c r="AK13" s="44">
        <f t="shared" si="2"/>
        <v>5</v>
      </c>
      <c r="AL13" s="44">
        <f t="shared" si="3"/>
        <v>0</v>
      </c>
      <c r="AM13" s="45">
        <f t="shared" si="4"/>
        <v>11</v>
      </c>
    </row>
    <row r="14" spans="1:39">
      <c r="A14" s="95">
        <v>11</v>
      </c>
      <c r="B14" s="102" t="s">
        <v>37</v>
      </c>
      <c r="C14" s="113" t="s">
        <v>14</v>
      </c>
      <c r="D14" s="70" t="s">
        <v>15</v>
      </c>
      <c r="E14" s="70" t="s">
        <v>15</v>
      </c>
      <c r="F14" s="77" t="s">
        <v>1</v>
      </c>
      <c r="G14" s="71" t="s">
        <v>1</v>
      </c>
      <c r="H14" s="85" t="s">
        <v>2</v>
      </c>
      <c r="I14" s="85" t="s">
        <v>3</v>
      </c>
      <c r="J14" s="85" t="s">
        <v>3</v>
      </c>
      <c r="K14" s="85" t="s">
        <v>15</v>
      </c>
      <c r="L14" s="71" t="s">
        <v>15</v>
      </c>
      <c r="M14" s="71" t="s">
        <v>1</v>
      </c>
      <c r="N14" s="71" t="s">
        <v>1</v>
      </c>
      <c r="O14" s="85" t="s">
        <v>1</v>
      </c>
      <c r="P14" s="85" t="s">
        <v>1</v>
      </c>
      <c r="Q14" s="80" t="s">
        <v>15</v>
      </c>
      <c r="R14" s="80" t="s">
        <v>15</v>
      </c>
      <c r="S14" s="85" t="s">
        <v>2</v>
      </c>
      <c r="T14" s="71" t="s">
        <v>2</v>
      </c>
      <c r="U14" s="71" t="s">
        <v>3</v>
      </c>
      <c r="V14" s="85" t="s">
        <v>3</v>
      </c>
      <c r="W14" s="85" t="s">
        <v>3</v>
      </c>
      <c r="X14" s="85" t="s">
        <v>15</v>
      </c>
      <c r="Y14" s="85" t="s">
        <v>15</v>
      </c>
      <c r="Z14" s="85" t="s">
        <v>2</v>
      </c>
      <c r="AA14" s="71" t="s">
        <v>2</v>
      </c>
      <c r="AB14" s="71" t="s">
        <v>2</v>
      </c>
      <c r="AC14" s="85" t="s">
        <v>15</v>
      </c>
      <c r="AD14" s="85" t="s">
        <v>15</v>
      </c>
      <c r="AE14" s="85" t="s">
        <v>15</v>
      </c>
      <c r="AF14" s="85" t="s">
        <v>1</v>
      </c>
      <c r="AG14" s="85" t="s">
        <v>1</v>
      </c>
      <c r="AH14" s="71" t="s">
        <v>1</v>
      </c>
      <c r="AI14" s="52">
        <f t="shared" si="0"/>
        <v>9</v>
      </c>
      <c r="AJ14" s="53">
        <f t="shared" si="1"/>
        <v>6</v>
      </c>
      <c r="AK14" s="53">
        <f t="shared" si="2"/>
        <v>5</v>
      </c>
      <c r="AL14" s="53">
        <f t="shared" si="3"/>
        <v>0</v>
      </c>
      <c r="AM14" s="54">
        <f t="shared" si="4"/>
        <v>11</v>
      </c>
    </row>
    <row r="15" spans="1:39">
      <c r="A15" s="95">
        <v>12</v>
      </c>
      <c r="B15" s="102" t="s">
        <v>38</v>
      </c>
      <c r="C15" s="113" t="s">
        <v>17</v>
      </c>
      <c r="D15" s="86" t="s">
        <v>2</v>
      </c>
      <c r="E15" s="86" t="s">
        <v>2</v>
      </c>
      <c r="F15" s="77" t="s">
        <v>2</v>
      </c>
      <c r="G15" s="71" t="s">
        <v>15</v>
      </c>
      <c r="H15" s="85" t="s">
        <v>15</v>
      </c>
      <c r="I15" s="85" t="s">
        <v>1</v>
      </c>
      <c r="J15" s="85" t="s">
        <v>2</v>
      </c>
      <c r="K15" s="85" t="s">
        <v>3</v>
      </c>
      <c r="L15" s="71" t="s">
        <v>3</v>
      </c>
      <c r="M15" s="71" t="s">
        <v>3</v>
      </c>
      <c r="N15" s="71" t="s">
        <v>15</v>
      </c>
      <c r="O15" s="85" t="s">
        <v>15</v>
      </c>
      <c r="P15" s="85" t="s">
        <v>2</v>
      </c>
      <c r="Q15" s="85" t="s">
        <v>2</v>
      </c>
      <c r="R15" s="85" t="s">
        <v>15</v>
      </c>
      <c r="S15" s="85" t="s">
        <v>15</v>
      </c>
      <c r="T15" s="71" t="s">
        <v>1</v>
      </c>
      <c r="U15" s="71" t="s">
        <v>2</v>
      </c>
      <c r="V15" s="85" t="s">
        <v>15</v>
      </c>
      <c r="W15" s="85" t="s">
        <v>15</v>
      </c>
      <c r="X15" s="85" t="s">
        <v>15</v>
      </c>
      <c r="Y15" s="85" t="s">
        <v>1</v>
      </c>
      <c r="Z15" s="85" t="s">
        <v>1</v>
      </c>
      <c r="AA15" s="71" t="s">
        <v>1</v>
      </c>
      <c r="AB15" s="71" t="s">
        <v>15</v>
      </c>
      <c r="AC15" s="85" t="s">
        <v>2</v>
      </c>
      <c r="AD15" s="85" t="s">
        <v>2</v>
      </c>
      <c r="AE15" s="85" t="s">
        <v>2</v>
      </c>
      <c r="AF15" s="85" t="s">
        <v>3</v>
      </c>
      <c r="AG15" s="85" t="s">
        <v>3</v>
      </c>
      <c r="AH15" s="71" t="s">
        <v>15</v>
      </c>
      <c r="AI15" s="52">
        <f t="shared" si="0"/>
        <v>5</v>
      </c>
      <c r="AJ15" s="53">
        <f t="shared" si="1"/>
        <v>10</v>
      </c>
      <c r="AK15" s="53">
        <f t="shared" si="2"/>
        <v>5</v>
      </c>
      <c r="AL15" s="53">
        <f t="shared" si="3"/>
        <v>0</v>
      </c>
      <c r="AM15" s="54">
        <f t="shared" si="4"/>
        <v>11</v>
      </c>
    </row>
    <row r="16" spans="1:39">
      <c r="A16" s="95">
        <v>13</v>
      </c>
      <c r="B16" s="103" t="s">
        <v>39</v>
      </c>
      <c r="C16" s="114" t="s">
        <v>59</v>
      </c>
      <c r="D16" s="87" t="s">
        <v>15</v>
      </c>
      <c r="E16" s="87" t="s">
        <v>1</v>
      </c>
      <c r="F16" s="88" t="s">
        <v>3</v>
      </c>
      <c r="G16" s="89" t="s">
        <v>3</v>
      </c>
      <c r="H16" s="90" t="s">
        <v>3</v>
      </c>
      <c r="I16" s="90" t="s">
        <v>15</v>
      </c>
      <c r="J16" s="90" t="s">
        <v>15</v>
      </c>
      <c r="K16" s="90" t="s">
        <v>2</v>
      </c>
      <c r="L16" s="89" t="s">
        <v>2</v>
      </c>
      <c r="M16" s="89" t="s">
        <v>2</v>
      </c>
      <c r="N16" s="89" t="s">
        <v>2</v>
      </c>
      <c r="O16" s="90" t="s">
        <v>15</v>
      </c>
      <c r="P16" s="90" t="s">
        <v>15</v>
      </c>
      <c r="Q16" s="90" t="s">
        <v>1</v>
      </c>
      <c r="R16" s="90" t="s">
        <v>1</v>
      </c>
      <c r="S16" s="90" t="s">
        <v>1</v>
      </c>
      <c r="T16" s="89" t="s">
        <v>15</v>
      </c>
      <c r="U16" s="89" t="s">
        <v>1</v>
      </c>
      <c r="V16" s="91" t="s">
        <v>15</v>
      </c>
      <c r="W16" s="91" t="s">
        <v>15</v>
      </c>
      <c r="X16" s="90" t="s">
        <v>3</v>
      </c>
      <c r="Y16" s="90" t="s">
        <v>3</v>
      </c>
      <c r="Z16" s="90" t="s">
        <v>15</v>
      </c>
      <c r="AA16" s="89" t="s">
        <v>15</v>
      </c>
      <c r="AB16" s="89" t="s">
        <v>1</v>
      </c>
      <c r="AC16" s="90" t="s">
        <v>1</v>
      </c>
      <c r="AD16" s="90" t="s">
        <v>1</v>
      </c>
      <c r="AE16" s="90" t="s">
        <v>15</v>
      </c>
      <c r="AF16" s="90" t="s">
        <v>2</v>
      </c>
      <c r="AG16" s="90" t="s">
        <v>2</v>
      </c>
      <c r="AH16" s="89" t="s">
        <v>2</v>
      </c>
      <c r="AI16" s="52">
        <f t="shared" si="0"/>
        <v>8</v>
      </c>
      <c r="AJ16" s="53">
        <f t="shared" si="1"/>
        <v>7</v>
      </c>
      <c r="AK16" s="53">
        <f t="shared" si="2"/>
        <v>5</v>
      </c>
      <c r="AL16" s="53">
        <f t="shared" si="3"/>
        <v>0</v>
      </c>
      <c r="AM16" s="54">
        <f t="shared" si="4"/>
        <v>11</v>
      </c>
    </row>
    <row r="17" spans="1:39">
      <c r="A17" s="95">
        <v>14</v>
      </c>
      <c r="B17" s="103" t="s">
        <v>39</v>
      </c>
      <c r="C17" s="114" t="s">
        <v>58</v>
      </c>
      <c r="D17" s="87" t="s">
        <v>52</v>
      </c>
      <c r="E17" s="87" t="s">
        <v>52</v>
      </c>
      <c r="F17" s="88" t="s">
        <v>15</v>
      </c>
      <c r="G17" s="89" t="s">
        <v>15</v>
      </c>
      <c r="H17" s="90" t="s">
        <v>46</v>
      </c>
      <c r="I17" s="90" t="s">
        <v>46</v>
      </c>
      <c r="J17" s="90" t="s">
        <v>15</v>
      </c>
      <c r="K17" s="90" t="s">
        <v>15</v>
      </c>
      <c r="L17" s="89" t="s">
        <v>45</v>
      </c>
      <c r="M17" s="89" t="s">
        <v>45</v>
      </c>
      <c r="N17" s="89" t="s">
        <v>45</v>
      </c>
      <c r="O17" s="89" t="s">
        <v>45</v>
      </c>
      <c r="P17" s="89" t="s">
        <v>45</v>
      </c>
      <c r="Q17" s="90" t="s">
        <v>15</v>
      </c>
      <c r="R17" s="90" t="s">
        <v>15</v>
      </c>
      <c r="S17" s="90" t="s">
        <v>53</v>
      </c>
      <c r="T17" s="89" t="s">
        <v>46</v>
      </c>
      <c r="U17" s="89" t="s">
        <v>15</v>
      </c>
      <c r="V17" s="90" t="s">
        <v>46</v>
      </c>
      <c r="W17" s="90" t="s">
        <v>46</v>
      </c>
      <c r="X17" s="90" t="s">
        <v>15</v>
      </c>
      <c r="Y17" s="90" t="s">
        <v>54</v>
      </c>
      <c r="Z17" s="90" t="s">
        <v>52</v>
      </c>
      <c r="AA17" s="89" t="s">
        <v>52</v>
      </c>
      <c r="AB17" s="89" t="s">
        <v>52</v>
      </c>
      <c r="AC17" s="90" t="s">
        <v>15</v>
      </c>
      <c r="AD17" s="90" t="s">
        <v>15</v>
      </c>
      <c r="AE17" s="90" t="s">
        <v>1</v>
      </c>
      <c r="AF17" s="90" t="s">
        <v>1</v>
      </c>
      <c r="AG17" s="90" t="s">
        <v>1</v>
      </c>
      <c r="AH17" s="89" t="s">
        <v>15</v>
      </c>
      <c r="AI17" s="52">
        <f t="shared" si="0"/>
        <v>3</v>
      </c>
      <c r="AJ17" s="53">
        <f t="shared" si="1"/>
        <v>0</v>
      </c>
      <c r="AK17" s="53">
        <f t="shared" si="2"/>
        <v>0</v>
      </c>
      <c r="AL17" s="53">
        <f t="shared" si="3"/>
        <v>0</v>
      </c>
      <c r="AM17" s="54">
        <f t="shared" si="4"/>
        <v>11</v>
      </c>
    </row>
    <row r="18" spans="1:39" ht="17.25" thickBot="1">
      <c r="A18" s="95">
        <v>15</v>
      </c>
      <c r="B18" s="104" t="s">
        <v>39</v>
      </c>
      <c r="C18" s="115" t="s">
        <v>58</v>
      </c>
      <c r="D18" s="92" t="s">
        <v>45</v>
      </c>
      <c r="E18" s="93" t="s">
        <v>52</v>
      </c>
      <c r="F18" s="94" t="s">
        <v>15</v>
      </c>
      <c r="G18" s="94" t="s">
        <v>15</v>
      </c>
      <c r="H18" s="93" t="s">
        <v>15</v>
      </c>
      <c r="I18" s="93" t="s">
        <v>46</v>
      </c>
      <c r="J18" s="93" t="s">
        <v>52</v>
      </c>
      <c r="K18" s="93" t="s">
        <v>52</v>
      </c>
      <c r="L18" s="94" t="s">
        <v>15</v>
      </c>
      <c r="M18" s="94" t="s">
        <v>15</v>
      </c>
      <c r="N18" s="94" t="s">
        <v>46</v>
      </c>
      <c r="O18" s="94" t="s">
        <v>46</v>
      </c>
      <c r="P18" s="94" t="s">
        <v>46</v>
      </c>
      <c r="Q18" s="93" t="s">
        <v>15</v>
      </c>
      <c r="R18" s="93" t="s">
        <v>46</v>
      </c>
      <c r="S18" s="93" t="s">
        <v>53</v>
      </c>
      <c r="T18" s="94" t="s">
        <v>45</v>
      </c>
      <c r="U18" s="94" t="s">
        <v>52</v>
      </c>
      <c r="V18" s="93" t="s">
        <v>51</v>
      </c>
      <c r="W18" s="93" t="s">
        <v>15</v>
      </c>
      <c r="X18" s="93" t="s">
        <v>15</v>
      </c>
      <c r="Y18" s="93" t="s">
        <v>15</v>
      </c>
      <c r="Z18" s="93" t="s">
        <v>46</v>
      </c>
      <c r="AA18" s="94" t="s">
        <v>46</v>
      </c>
      <c r="AB18" s="94" t="s">
        <v>45</v>
      </c>
      <c r="AC18" s="93" t="s">
        <v>45</v>
      </c>
      <c r="AD18" s="93" t="s">
        <v>45</v>
      </c>
      <c r="AE18" s="93" t="s">
        <v>15</v>
      </c>
      <c r="AF18" s="93" t="s">
        <v>45</v>
      </c>
      <c r="AG18" s="93" t="s">
        <v>45</v>
      </c>
      <c r="AH18" s="94" t="s">
        <v>15</v>
      </c>
      <c r="AI18" s="98">
        <f t="shared" si="0"/>
        <v>0</v>
      </c>
      <c r="AJ18" s="98">
        <f t="shared" si="1"/>
        <v>0</v>
      </c>
      <c r="AK18" s="98">
        <f t="shared" si="2"/>
        <v>0</v>
      </c>
      <c r="AL18" s="98">
        <f t="shared" si="3"/>
        <v>0</v>
      </c>
      <c r="AM18" s="99">
        <f t="shared" si="4"/>
        <v>11</v>
      </c>
    </row>
    <row r="19" spans="1:39">
      <c r="A19" s="1"/>
      <c r="B19" s="2"/>
      <c r="C19" s="2"/>
      <c r="D19" s="17"/>
      <c r="E19" s="17"/>
      <c r="F19" s="17" t="s">
        <v>25</v>
      </c>
      <c r="G19" s="17" t="s">
        <v>26</v>
      </c>
      <c r="H19" s="17" t="s">
        <v>26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J19" s="18"/>
      <c r="AK19" s="18"/>
      <c r="AL19" s="18"/>
      <c r="AM19" s="18"/>
    </row>
    <row r="20" spans="1:39">
      <c r="A20" s="1"/>
      <c r="B20" s="2"/>
      <c r="C20" s="2"/>
      <c r="D20" s="19">
        <f t="shared" ref="D20:AG20" si="5">COUNTIF(D3:D19,"D")</f>
        <v>3</v>
      </c>
      <c r="E20" s="19">
        <f t="shared" si="5"/>
        <v>3</v>
      </c>
      <c r="F20" s="19">
        <f t="shared" si="5"/>
        <v>3</v>
      </c>
      <c r="G20" s="19">
        <f t="shared" si="5"/>
        <v>3</v>
      </c>
      <c r="H20" s="19">
        <f t="shared" si="5"/>
        <v>3</v>
      </c>
      <c r="I20" s="19">
        <f t="shared" si="5"/>
        <v>3</v>
      </c>
      <c r="J20" s="19">
        <f t="shared" si="5"/>
        <v>3</v>
      </c>
      <c r="K20" s="19">
        <f t="shared" si="5"/>
        <v>3</v>
      </c>
      <c r="L20" s="19">
        <f t="shared" si="5"/>
        <v>3</v>
      </c>
      <c r="M20" s="19">
        <f t="shared" si="5"/>
        <v>3</v>
      </c>
      <c r="N20" s="19">
        <f t="shared" si="5"/>
        <v>3</v>
      </c>
      <c r="O20" s="19">
        <f t="shared" si="5"/>
        <v>3</v>
      </c>
      <c r="P20" s="19">
        <f t="shared" si="5"/>
        <v>3</v>
      </c>
      <c r="Q20" s="19">
        <f t="shared" si="5"/>
        <v>3</v>
      </c>
      <c r="R20" s="19">
        <f t="shared" si="5"/>
        <v>3</v>
      </c>
      <c r="S20" s="19">
        <f t="shared" si="5"/>
        <v>3</v>
      </c>
      <c r="T20" s="19">
        <f t="shared" si="5"/>
        <v>3</v>
      </c>
      <c r="U20" s="19">
        <f t="shared" si="5"/>
        <v>3</v>
      </c>
      <c r="V20" s="19">
        <f t="shared" si="5"/>
        <v>3</v>
      </c>
      <c r="W20" s="19">
        <f t="shared" si="5"/>
        <v>3</v>
      </c>
      <c r="X20" s="19">
        <f t="shared" si="5"/>
        <v>3</v>
      </c>
      <c r="Y20" s="19">
        <f t="shared" si="5"/>
        <v>3</v>
      </c>
      <c r="Z20" s="19">
        <f t="shared" si="5"/>
        <v>3</v>
      </c>
      <c r="AA20" s="19">
        <f t="shared" si="5"/>
        <v>3</v>
      </c>
      <c r="AB20" s="19">
        <f t="shared" si="5"/>
        <v>3</v>
      </c>
      <c r="AC20" s="19">
        <f t="shared" si="5"/>
        <v>3</v>
      </c>
      <c r="AD20" s="19">
        <f t="shared" si="5"/>
        <v>3</v>
      </c>
      <c r="AE20" s="19">
        <f t="shared" si="5"/>
        <v>3</v>
      </c>
      <c r="AF20" s="19">
        <f t="shared" si="5"/>
        <v>3</v>
      </c>
      <c r="AG20" s="19">
        <f t="shared" si="5"/>
        <v>3</v>
      </c>
      <c r="AH20" s="19"/>
      <c r="AI20" s="20"/>
      <c r="AJ20" s="20"/>
      <c r="AK20" s="20"/>
      <c r="AL20" s="20"/>
      <c r="AM20" s="20"/>
    </row>
    <row r="21" spans="1:39">
      <c r="B21" s="2"/>
      <c r="C21" s="2"/>
      <c r="D21" s="19">
        <f t="shared" ref="D21:AG21" si="6">COUNTIF(D3:D19,"E")</f>
        <v>3</v>
      </c>
      <c r="E21" s="19">
        <f t="shared" si="6"/>
        <v>3</v>
      </c>
      <c r="F21" s="19">
        <f t="shared" si="6"/>
        <v>3</v>
      </c>
      <c r="G21" s="19">
        <f t="shared" si="6"/>
        <v>3</v>
      </c>
      <c r="H21" s="19">
        <f t="shared" si="6"/>
        <v>3</v>
      </c>
      <c r="I21" s="19">
        <f t="shared" si="6"/>
        <v>3</v>
      </c>
      <c r="J21" s="19">
        <f t="shared" si="6"/>
        <v>3</v>
      </c>
      <c r="K21" s="19">
        <f t="shared" si="6"/>
        <v>3</v>
      </c>
      <c r="L21" s="19">
        <f t="shared" si="6"/>
        <v>3</v>
      </c>
      <c r="M21" s="19">
        <f t="shared" si="6"/>
        <v>3</v>
      </c>
      <c r="N21" s="19">
        <f t="shared" si="6"/>
        <v>3</v>
      </c>
      <c r="O21" s="19">
        <f t="shared" si="6"/>
        <v>3</v>
      </c>
      <c r="P21" s="19">
        <f t="shared" si="6"/>
        <v>3</v>
      </c>
      <c r="Q21" s="19">
        <f t="shared" si="6"/>
        <v>3</v>
      </c>
      <c r="R21" s="19">
        <f t="shared" si="6"/>
        <v>3</v>
      </c>
      <c r="S21" s="19">
        <f t="shared" si="6"/>
        <v>3</v>
      </c>
      <c r="T21" s="19">
        <f t="shared" si="6"/>
        <v>3</v>
      </c>
      <c r="U21" s="19">
        <f t="shared" si="6"/>
        <v>3</v>
      </c>
      <c r="V21" s="19">
        <f t="shared" si="6"/>
        <v>3</v>
      </c>
      <c r="W21" s="19">
        <f t="shared" si="6"/>
        <v>3</v>
      </c>
      <c r="X21" s="19">
        <f t="shared" si="6"/>
        <v>3</v>
      </c>
      <c r="Y21" s="19">
        <f t="shared" si="6"/>
        <v>3</v>
      </c>
      <c r="Z21" s="19">
        <f t="shared" si="6"/>
        <v>3</v>
      </c>
      <c r="AA21" s="19">
        <f t="shared" si="6"/>
        <v>3</v>
      </c>
      <c r="AB21" s="19">
        <f t="shared" si="6"/>
        <v>3</v>
      </c>
      <c r="AC21" s="19">
        <f t="shared" si="6"/>
        <v>3</v>
      </c>
      <c r="AD21" s="19">
        <f t="shared" si="6"/>
        <v>3</v>
      </c>
      <c r="AE21" s="19">
        <f t="shared" si="6"/>
        <v>3</v>
      </c>
      <c r="AF21" s="19">
        <f t="shared" si="6"/>
        <v>3</v>
      </c>
      <c r="AG21" s="19">
        <f t="shared" si="6"/>
        <v>3</v>
      </c>
      <c r="AH21" s="19"/>
      <c r="AI21" s="20"/>
      <c r="AJ21" s="20"/>
      <c r="AK21" s="20"/>
      <c r="AL21" s="20"/>
      <c r="AM21" s="20"/>
    </row>
    <row r="22" spans="1:39">
      <c r="B22" s="2"/>
      <c r="C22" s="2"/>
      <c r="D22" s="19">
        <f t="shared" ref="D22:AG22" si="7">COUNTIF(D3:D19,"N")</f>
        <v>2</v>
      </c>
      <c r="E22" s="19">
        <f t="shared" si="7"/>
        <v>3</v>
      </c>
      <c r="F22" s="19">
        <f t="shared" si="7"/>
        <v>2</v>
      </c>
      <c r="G22" s="19">
        <f t="shared" si="7"/>
        <v>2</v>
      </c>
      <c r="H22" s="19">
        <f t="shared" si="7"/>
        <v>2</v>
      </c>
      <c r="I22" s="19">
        <f t="shared" si="7"/>
        <v>2</v>
      </c>
      <c r="J22" s="19">
        <f t="shared" si="7"/>
        <v>2</v>
      </c>
      <c r="K22" s="19">
        <f t="shared" si="7"/>
        <v>2</v>
      </c>
      <c r="L22" s="19">
        <f t="shared" si="7"/>
        <v>2</v>
      </c>
      <c r="M22" s="19">
        <f t="shared" si="7"/>
        <v>2</v>
      </c>
      <c r="N22" s="19">
        <f t="shared" si="7"/>
        <v>2</v>
      </c>
      <c r="O22" s="19">
        <f t="shared" si="7"/>
        <v>2</v>
      </c>
      <c r="P22" s="19">
        <f t="shared" si="7"/>
        <v>2</v>
      </c>
      <c r="Q22" s="19">
        <f t="shared" si="7"/>
        <v>2</v>
      </c>
      <c r="R22" s="19">
        <f t="shared" si="7"/>
        <v>2</v>
      </c>
      <c r="S22" s="19">
        <f t="shared" si="7"/>
        <v>2</v>
      </c>
      <c r="T22" s="19">
        <f t="shared" si="7"/>
        <v>2</v>
      </c>
      <c r="U22" s="19">
        <f t="shared" si="7"/>
        <v>2</v>
      </c>
      <c r="V22" s="19">
        <f t="shared" si="7"/>
        <v>2</v>
      </c>
      <c r="W22" s="19">
        <f t="shared" si="7"/>
        <v>2</v>
      </c>
      <c r="X22" s="19">
        <f t="shared" si="7"/>
        <v>2</v>
      </c>
      <c r="Y22" s="19">
        <f t="shared" si="7"/>
        <v>2</v>
      </c>
      <c r="Z22" s="19">
        <f t="shared" si="7"/>
        <v>2</v>
      </c>
      <c r="AA22" s="19">
        <f t="shared" si="7"/>
        <v>2</v>
      </c>
      <c r="AB22" s="19">
        <f t="shared" si="7"/>
        <v>2</v>
      </c>
      <c r="AC22" s="19">
        <f t="shared" si="7"/>
        <v>2</v>
      </c>
      <c r="AD22" s="19">
        <f t="shared" si="7"/>
        <v>2</v>
      </c>
      <c r="AE22" s="19">
        <f t="shared" si="7"/>
        <v>2</v>
      </c>
      <c r="AF22" s="19">
        <f t="shared" si="7"/>
        <v>2</v>
      </c>
      <c r="AG22" s="19">
        <f t="shared" si="7"/>
        <v>2</v>
      </c>
      <c r="AH22" s="19"/>
      <c r="AI22" s="20"/>
      <c r="AJ22" s="20"/>
      <c r="AK22" s="20"/>
      <c r="AL22" s="20"/>
      <c r="AM22" s="20"/>
    </row>
    <row r="23" spans="1:39">
      <c r="B23" s="2"/>
      <c r="C23" s="2"/>
      <c r="D23" s="19">
        <f t="shared" ref="D23:AG23" si="8">COUNTIF(D3:D19,"P")</f>
        <v>0</v>
      </c>
      <c r="E23" s="19">
        <f t="shared" si="8"/>
        <v>0</v>
      </c>
      <c r="F23" s="19">
        <f t="shared" si="8"/>
        <v>0</v>
      </c>
      <c r="G23" s="19">
        <f t="shared" si="8"/>
        <v>0</v>
      </c>
      <c r="H23" s="19">
        <f t="shared" si="8"/>
        <v>0</v>
      </c>
      <c r="I23" s="19">
        <f t="shared" si="8"/>
        <v>0</v>
      </c>
      <c r="J23" s="19">
        <f t="shared" si="8"/>
        <v>0</v>
      </c>
      <c r="K23" s="19">
        <f t="shared" si="8"/>
        <v>0</v>
      </c>
      <c r="L23" s="19">
        <f t="shared" si="8"/>
        <v>0</v>
      </c>
      <c r="M23" s="19">
        <f t="shared" si="8"/>
        <v>0</v>
      </c>
      <c r="N23" s="19">
        <f t="shared" si="8"/>
        <v>0</v>
      </c>
      <c r="O23" s="19">
        <f t="shared" si="8"/>
        <v>0</v>
      </c>
      <c r="P23" s="19">
        <f t="shared" si="8"/>
        <v>0</v>
      </c>
      <c r="Q23" s="19">
        <f t="shared" si="8"/>
        <v>0</v>
      </c>
      <c r="R23" s="19">
        <f t="shared" si="8"/>
        <v>0</v>
      </c>
      <c r="S23" s="19">
        <f t="shared" si="8"/>
        <v>0</v>
      </c>
      <c r="T23" s="19">
        <f t="shared" si="8"/>
        <v>0</v>
      </c>
      <c r="U23" s="19">
        <f t="shared" si="8"/>
        <v>0</v>
      </c>
      <c r="V23" s="19">
        <f t="shared" si="8"/>
        <v>0</v>
      </c>
      <c r="W23" s="19">
        <f t="shared" si="8"/>
        <v>0</v>
      </c>
      <c r="X23" s="19">
        <f t="shared" si="8"/>
        <v>0</v>
      </c>
      <c r="Y23" s="19">
        <f t="shared" si="8"/>
        <v>0</v>
      </c>
      <c r="Z23" s="19">
        <f t="shared" si="8"/>
        <v>0</v>
      </c>
      <c r="AA23" s="19">
        <f t="shared" si="8"/>
        <v>0</v>
      </c>
      <c r="AB23" s="19">
        <f t="shared" si="8"/>
        <v>0</v>
      </c>
      <c r="AC23" s="19">
        <f t="shared" si="8"/>
        <v>0</v>
      </c>
      <c r="AD23" s="19">
        <f t="shared" si="8"/>
        <v>0</v>
      </c>
      <c r="AE23" s="19">
        <f t="shared" si="8"/>
        <v>0</v>
      </c>
      <c r="AF23" s="19">
        <f t="shared" si="8"/>
        <v>0</v>
      </c>
      <c r="AG23" s="19">
        <f t="shared" si="8"/>
        <v>0</v>
      </c>
      <c r="AH23" s="19"/>
      <c r="AI23" s="20"/>
      <c r="AJ23" s="20"/>
      <c r="AK23" s="20"/>
      <c r="AL23" s="20"/>
      <c r="AM23" s="20"/>
    </row>
    <row r="24" spans="1:39">
      <c r="B24" s="2"/>
      <c r="C24" s="2"/>
      <c r="D24" s="21">
        <f t="shared" ref="D24:AG24" si="9">COUNTIF(D3:D19,"F")</f>
        <v>0</v>
      </c>
      <c r="E24" s="21">
        <f t="shared" si="9"/>
        <v>0</v>
      </c>
      <c r="F24" s="21">
        <f t="shared" si="9"/>
        <v>0</v>
      </c>
      <c r="G24" s="21">
        <f t="shared" si="9"/>
        <v>0</v>
      </c>
      <c r="H24" s="21">
        <f t="shared" si="9"/>
        <v>0</v>
      </c>
      <c r="I24" s="21">
        <f t="shared" si="9"/>
        <v>0</v>
      </c>
      <c r="J24" s="21">
        <f t="shared" si="9"/>
        <v>0</v>
      </c>
      <c r="K24" s="21">
        <f t="shared" si="9"/>
        <v>0</v>
      </c>
      <c r="L24" s="21">
        <f t="shared" si="9"/>
        <v>0</v>
      </c>
      <c r="M24" s="21">
        <f t="shared" si="9"/>
        <v>0</v>
      </c>
      <c r="N24" s="21">
        <f t="shared" si="9"/>
        <v>0</v>
      </c>
      <c r="O24" s="21">
        <f t="shared" si="9"/>
        <v>0</v>
      </c>
      <c r="P24" s="21">
        <f t="shared" si="9"/>
        <v>0</v>
      </c>
      <c r="Q24" s="21">
        <f t="shared" si="9"/>
        <v>0</v>
      </c>
      <c r="R24" s="21">
        <f t="shared" si="9"/>
        <v>0</v>
      </c>
      <c r="S24" s="21">
        <f t="shared" si="9"/>
        <v>0</v>
      </c>
      <c r="T24" s="21">
        <f t="shared" si="9"/>
        <v>0</v>
      </c>
      <c r="U24" s="21">
        <f t="shared" si="9"/>
        <v>0</v>
      </c>
      <c r="V24" s="21">
        <f t="shared" si="9"/>
        <v>0</v>
      </c>
      <c r="W24" s="21">
        <f t="shared" si="9"/>
        <v>0</v>
      </c>
      <c r="X24" s="21">
        <f t="shared" si="9"/>
        <v>0</v>
      </c>
      <c r="Y24" s="21">
        <f t="shared" si="9"/>
        <v>0</v>
      </c>
      <c r="Z24" s="21">
        <f t="shared" si="9"/>
        <v>0</v>
      </c>
      <c r="AA24" s="21">
        <f t="shared" si="9"/>
        <v>0</v>
      </c>
      <c r="AB24" s="21">
        <f t="shared" si="9"/>
        <v>0</v>
      </c>
      <c r="AC24" s="21">
        <f t="shared" si="9"/>
        <v>0</v>
      </c>
      <c r="AD24" s="21">
        <f t="shared" si="9"/>
        <v>0</v>
      </c>
      <c r="AE24" s="21">
        <f t="shared" si="9"/>
        <v>0</v>
      </c>
      <c r="AF24" s="21">
        <f t="shared" si="9"/>
        <v>0</v>
      </c>
      <c r="AG24" s="21">
        <f t="shared" si="9"/>
        <v>0</v>
      </c>
      <c r="AH24" s="21"/>
      <c r="AI24" s="20"/>
      <c r="AJ24" s="20"/>
      <c r="AK24" s="20"/>
      <c r="AL24" s="20"/>
      <c r="AM24" s="20"/>
    </row>
    <row r="26" spans="1:39" ht="84" customHeight="1"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</row>
  </sheetData>
  <mergeCells count="5">
    <mergeCell ref="D1:AK1"/>
    <mergeCell ref="A2:A3"/>
    <mergeCell ref="B2:B3"/>
    <mergeCell ref="C2:C3"/>
    <mergeCell ref="D26:AM26"/>
  </mergeCells>
  <phoneticPr fontId="1" type="noConversion"/>
  <conditionalFormatting sqref="D2:AH3">
    <cfRule type="containsText" dxfId="11" priority="4" operator="containsText" text="N">
      <formula>NOT(ISERROR(SEARCH("N",D2)))</formula>
    </cfRule>
    <cfRule type="containsText" dxfId="10" priority="5" operator="containsText" text="E">
      <formula>NOT(ISERROR(SEARCH("E",D2)))</formula>
    </cfRule>
    <cfRule type="containsText" dxfId="9" priority="6" operator="containsText" text="D">
      <formula>NOT(ISERROR(SEARCH("D",D2)))</formula>
    </cfRule>
  </conditionalFormatting>
  <conditionalFormatting sqref="D3:AH3">
    <cfRule type="containsText" dxfId="8" priority="1" operator="containsText" text="N">
      <formula>NOT(ISERROR(SEARCH("N",D3)))</formula>
    </cfRule>
    <cfRule type="containsText" dxfId="7" priority="2" operator="containsText" text="E">
      <formula>NOT(ISERROR(SEARCH("E",D3)))</formula>
    </cfRule>
    <cfRule type="containsText" dxfId="6" priority="3" operator="containsText" text="D">
      <formula>NOT(ISERROR(SEARCH("D",D3)))</formula>
    </cfRule>
  </conditionalFormatting>
  <pageMargins left="0.41" right="0.2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881B-0B18-411B-9F67-94446C6CCC51}">
  <dimension ref="A1:AM26"/>
  <sheetViews>
    <sheetView tabSelected="1" topLeftCell="A10" workbookViewId="0">
      <selection activeCell="AO24" sqref="AO24"/>
    </sheetView>
  </sheetViews>
  <sheetFormatPr defaultRowHeight="16.5"/>
  <cols>
    <col min="1" max="1" width="7" customWidth="1"/>
    <col min="2" max="2" width="6" customWidth="1"/>
    <col min="3" max="3" width="6.5" customWidth="1"/>
    <col min="4" max="39" width="3" customWidth="1"/>
  </cols>
  <sheetData>
    <row r="1" spans="1:39" ht="22.5" thickBot="1">
      <c r="A1" s="1"/>
      <c r="B1" s="2"/>
      <c r="C1" t="s">
        <v>0</v>
      </c>
      <c r="D1" s="116" t="s">
        <v>56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3"/>
      <c r="AM1" s="3"/>
    </row>
    <row r="2" spans="1:39" ht="17.25" thickBot="1">
      <c r="A2" s="118" t="s">
        <v>55</v>
      </c>
      <c r="B2" s="120" t="s">
        <v>61</v>
      </c>
      <c r="C2" s="124" t="s">
        <v>60</v>
      </c>
      <c r="D2" s="4">
        <v>1</v>
      </c>
      <c r="E2" s="4">
        <v>2</v>
      </c>
      <c r="F2" s="5">
        <v>3</v>
      </c>
      <c r="G2" s="5">
        <v>4</v>
      </c>
      <c r="H2" s="5">
        <v>5</v>
      </c>
      <c r="I2" s="4">
        <v>6</v>
      </c>
      <c r="J2" s="6">
        <v>7</v>
      </c>
      <c r="K2" s="6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6">
        <v>14</v>
      </c>
      <c r="R2" s="6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6">
        <v>21</v>
      </c>
      <c r="Y2" s="6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6">
        <v>28</v>
      </c>
      <c r="AF2" s="6">
        <v>29</v>
      </c>
      <c r="AG2" s="4">
        <v>30</v>
      </c>
      <c r="AH2" s="7"/>
      <c r="AI2" s="8" t="s">
        <v>1</v>
      </c>
      <c r="AJ2" s="9" t="s">
        <v>2</v>
      </c>
      <c r="AK2" s="9" t="s">
        <v>3</v>
      </c>
      <c r="AL2" s="9" t="s">
        <v>4</v>
      </c>
      <c r="AM2" s="10">
        <v>9</v>
      </c>
    </row>
    <row r="3" spans="1:39">
      <c r="A3" s="119"/>
      <c r="B3" s="121"/>
      <c r="C3" s="125"/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2" t="s">
        <v>11</v>
      </c>
      <c r="K3" s="12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10</v>
      </c>
      <c r="Q3" s="12" t="s">
        <v>11</v>
      </c>
      <c r="R3" s="12" t="s">
        <v>5</v>
      </c>
      <c r="S3" s="11" t="s">
        <v>6</v>
      </c>
      <c r="T3" s="11" t="s">
        <v>7</v>
      </c>
      <c r="U3" s="11" t="s">
        <v>8</v>
      </c>
      <c r="V3" s="11" t="s">
        <v>9</v>
      </c>
      <c r="W3" s="11" t="s">
        <v>10</v>
      </c>
      <c r="X3" s="12" t="s">
        <v>11</v>
      </c>
      <c r="Y3" s="12" t="s">
        <v>5</v>
      </c>
      <c r="Z3" s="11" t="s">
        <v>6</v>
      </c>
      <c r="AA3" s="11" t="s">
        <v>7</v>
      </c>
      <c r="AB3" s="11" t="s">
        <v>8</v>
      </c>
      <c r="AC3" s="11" t="s">
        <v>9</v>
      </c>
      <c r="AD3" s="11" t="s">
        <v>10</v>
      </c>
      <c r="AE3" s="12" t="s">
        <v>11</v>
      </c>
      <c r="AF3" s="12" t="s">
        <v>12</v>
      </c>
      <c r="AG3" s="11" t="s">
        <v>13</v>
      </c>
      <c r="AH3" s="11"/>
      <c r="AI3" s="13"/>
      <c r="AJ3" s="14"/>
      <c r="AK3" s="14"/>
      <c r="AL3" s="14"/>
      <c r="AM3" s="15">
        <f>AU14</f>
        <v>0</v>
      </c>
    </row>
    <row r="4" spans="1:39">
      <c r="A4" s="95">
        <v>1</v>
      </c>
      <c r="B4" s="22">
        <v>406</v>
      </c>
      <c r="C4" s="23" t="s">
        <v>14</v>
      </c>
      <c r="D4" s="24"/>
      <c r="E4" s="24"/>
      <c r="F4" s="24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131" t="s">
        <v>15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6">
        <f>COUNTIF(D4:AH4,"D")</f>
        <v>0</v>
      </c>
      <c r="AJ4" s="27">
        <f>COUNTIF(D4:AH4,"E")</f>
        <v>0</v>
      </c>
      <c r="AK4" s="27">
        <f>COUNTIF(D4:AH4,"N")</f>
        <v>0</v>
      </c>
      <c r="AL4" s="27">
        <f>COUNTIF(D4:AH4,"P")</f>
        <v>0</v>
      </c>
      <c r="AM4" s="28">
        <f>COUNTIF(D4:AH4,"O")</f>
        <v>1</v>
      </c>
    </row>
    <row r="5" spans="1:39">
      <c r="A5" s="95">
        <v>2</v>
      </c>
      <c r="B5" s="22" t="s">
        <v>29</v>
      </c>
      <c r="C5" s="29" t="s">
        <v>16</v>
      </c>
      <c r="D5" s="30" t="s">
        <v>2</v>
      </c>
      <c r="E5" s="30" t="s">
        <v>2</v>
      </c>
      <c r="F5" s="30"/>
      <c r="G5" s="31"/>
      <c r="H5" s="31"/>
      <c r="I5" s="32"/>
      <c r="J5" s="130" t="s">
        <v>2</v>
      </c>
      <c r="K5" s="32"/>
      <c r="L5" s="32"/>
      <c r="M5" s="32"/>
      <c r="N5" s="32"/>
      <c r="O5" s="32"/>
      <c r="P5" s="31"/>
      <c r="Q5" s="31"/>
      <c r="R5" s="31"/>
      <c r="S5" s="32"/>
      <c r="T5" s="32"/>
      <c r="U5" s="31"/>
      <c r="V5" s="31"/>
      <c r="W5" s="32"/>
      <c r="X5" s="130" t="s">
        <v>15</v>
      </c>
      <c r="Y5" s="130" t="s">
        <v>15</v>
      </c>
      <c r="Z5" s="130" t="s">
        <v>15</v>
      </c>
      <c r="AA5" s="130" t="s">
        <v>15</v>
      </c>
      <c r="AB5" s="130" t="s">
        <v>15</v>
      </c>
      <c r="AC5" s="130" t="s">
        <v>15</v>
      </c>
      <c r="AD5" s="130" t="s">
        <v>15</v>
      </c>
      <c r="AE5" s="32"/>
      <c r="AF5" s="32"/>
      <c r="AG5" s="32"/>
      <c r="AH5" s="32"/>
      <c r="AI5" s="26">
        <f t="shared" ref="AI5:AI18" si="0">COUNTIF(D5:AH5,"D")</f>
        <v>0</v>
      </c>
      <c r="AJ5" s="27">
        <f t="shared" ref="AJ5:AJ18" si="1">COUNTIF(D5:AH5,"E")</f>
        <v>3</v>
      </c>
      <c r="AK5" s="27">
        <f t="shared" ref="AK5:AK18" si="2">COUNTIF(D5:AH5,"N")</f>
        <v>0</v>
      </c>
      <c r="AL5" s="27">
        <f t="shared" ref="AL5:AL18" si="3">COUNTIF(D5:AH5,"P")</f>
        <v>0</v>
      </c>
      <c r="AM5" s="28">
        <f t="shared" ref="AM5:AM18" si="4">COUNTIF(D5:AH5,"O")</f>
        <v>7</v>
      </c>
    </row>
    <row r="6" spans="1:39">
      <c r="A6" s="95">
        <v>3</v>
      </c>
      <c r="B6" s="22" t="s">
        <v>30</v>
      </c>
      <c r="C6" s="29"/>
      <c r="D6" s="127" t="s">
        <v>15</v>
      </c>
      <c r="E6" s="128" t="s">
        <v>15</v>
      </c>
      <c r="F6" s="128" t="s">
        <v>15</v>
      </c>
      <c r="G6" s="129" t="s">
        <v>15</v>
      </c>
      <c r="H6" s="129" t="s">
        <v>15</v>
      </c>
      <c r="I6" s="130" t="s">
        <v>3</v>
      </c>
      <c r="J6" s="32"/>
      <c r="K6" s="37"/>
      <c r="L6" s="37"/>
      <c r="M6" s="37"/>
      <c r="N6" s="32"/>
      <c r="O6" s="32"/>
      <c r="P6" s="32"/>
      <c r="Q6" s="31"/>
      <c r="R6" s="31"/>
      <c r="S6" s="32"/>
      <c r="T6" s="32"/>
      <c r="U6" s="31"/>
      <c r="V6" s="31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26">
        <f t="shared" si="0"/>
        <v>0</v>
      </c>
      <c r="AJ6" s="27">
        <f t="shared" si="1"/>
        <v>0</v>
      </c>
      <c r="AK6" s="27">
        <f t="shared" si="2"/>
        <v>1</v>
      </c>
      <c r="AL6" s="27">
        <f t="shared" si="3"/>
        <v>0</v>
      </c>
      <c r="AM6" s="28">
        <f t="shared" si="4"/>
        <v>5</v>
      </c>
    </row>
    <row r="7" spans="1:39">
      <c r="A7" s="95">
        <v>4</v>
      </c>
      <c r="B7" s="22" t="s">
        <v>31</v>
      </c>
      <c r="C7" s="29"/>
      <c r="D7" s="34"/>
      <c r="E7" s="35"/>
      <c r="F7" s="35"/>
      <c r="G7" s="36"/>
      <c r="H7" s="36"/>
      <c r="I7" s="33"/>
      <c r="J7" s="32"/>
      <c r="K7" s="37"/>
      <c r="L7" s="37"/>
      <c r="M7" s="37"/>
      <c r="N7" s="32"/>
      <c r="O7" s="32"/>
      <c r="P7" s="32"/>
      <c r="Q7" s="31"/>
      <c r="R7" s="31"/>
      <c r="S7" s="32"/>
      <c r="T7" s="32"/>
      <c r="U7" s="31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26"/>
      <c r="AJ7" s="27"/>
      <c r="AK7" s="27"/>
      <c r="AL7" s="27"/>
      <c r="AM7" s="28"/>
    </row>
    <row r="8" spans="1:39">
      <c r="A8" s="95">
        <v>5</v>
      </c>
      <c r="B8" s="22" t="s">
        <v>32</v>
      </c>
      <c r="C8" s="23"/>
      <c r="D8" s="127" t="s">
        <v>15</v>
      </c>
      <c r="E8" s="128" t="s">
        <v>15</v>
      </c>
      <c r="F8" s="129" t="s">
        <v>15</v>
      </c>
      <c r="G8" s="129" t="s">
        <v>15</v>
      </c>
      <c r="H8" s="129" t="s">
        <v>15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8"/>
      <c r="W8" s="31"/>
      <c r="X8" s="31"/>
      <c r="Y8" s="38"/>
      <c r="Z8" s="31"/>
      <c r="AA8" s="31"/>
      <c r="AB8" s="31"/>
      <c r="AC8" s="31"/>
      <c r="AD8" s="31"/>
      <c r="AE8" s="31"/>
      <c r="AF8" s="31"/>
      <c r="AG8" s="31"/>
      <c r="AH8" s="31"/>
      <c r="AI8" s="26">
        <f t="shared" si="0"/>
        <v>0</v>
      </c>
      <c r="AJ8" s="27">
        <f t="shared" si="1"/>
        <v>0</v>
      </c>
      <c r="AK8" s="27">
        <f t="shared" si="2"/>
        <v>0</v>
      </c>
      <c r="AL8" s="27">
        <f t="shared" si="3"/>
        <v>0</v>
      </c>
      <c r="AM8" s="28">
        <f t="shared" si="4"/>
        <v>5</v>
      </c>
    </row>
    <row r="9" spans="1:39">
      <c r="A9" s="95">
        <v>6</v>
      </c>
      <c r="B9" s="39" t="s">
        <v>33</v>
      </c>
      <c r="C9" s="40" t="s">
        <v>17</v>
      </c>
      <c r="D9" s="41"/>
      <c r="E9" s="41"/>
      <c r="F9" s="42"/>
      <c r="G9" s="42"/>
      <c r="H9" s="42"/>
      <c r="I9" s="42"/>
      <c r="J9" s="129" t="s">
        <v>2</v>
      </c>
      <c r="K9" s="42"/>
      <c r="L9" s="42"/>
      <c r="M9" s="42"/>
      <c r="N9" s="42"/>
      <c r="O9" s="42"/>
      <c r="P9" s="42"/>
      <c r="Q9" s="129" t="s">
        <v>15</v>
      </c>
      <c r="R9" s="129" t="s">
        <v>15</v>
      </c>
      <c r="S9" s="42"/>
      <c r="T9" s="42"/>
      <c r="U9" s="42"/>
      <c r="V9" s="42"/>
      <c r="W9" s="42"/>
      <c r="X9" s="129" t="s">
        <v>1</v>
      </c>
      <c r="Y9" s="42"/>
      <c r="Z9" s="42"/>
      <c r="AA9" s="42"/>
      <c r="AB9" s="42"/>
      <c r="AC9" s="42"/>
      <c r="AD9" s="42"/>
      <c r="AE9" s="42"/>
      <c r="AF9" s="129" t="s">
        <v>15</v>
      </c>
      <c r="AG9" s="129" t="s">
        <v>15</v>
      </c>
      <c r="AH9" s="42"/>
      <c r="AI9" s="43">
        <f t="shared" si="0"/>
        <v>1</v>
      </c>
      <c r="AJ9" s="44">
        <f t="shared" si="1"/>
        <v>1</v>
      </c>
      <c r="AK9" s="44">
        <f t="shared" si="2"/>
        <v>0</v>
      </c>
      <c r="AL9" s="44">
        <f t="shared" si="3"/>
        <v>0</v>
      </c>
      <c r="AM9" s="45">
        <f t="shared" si="4"/>
        <v>4</v>
      </c>
    </row>
    <row r="10" spans="1:39">
      <c r="A10" s="95">
        <v>7</v>
      </c>
      <c r="B10" s="39" t="s">
        <v>34</v>
      </c>
      <c r="C10" s="40" t="s">
        <v>18</v>
      </c>
      <c r="D10" s="41"/>
      <c r="E10" s="41"/>
      <c r="F10" s="42"/>
      <c r="G10" s="42"/>
      <c r="H10" s="42"/>
      <c r="I10" s="42"/>
      <c r="J10" s="129" t="s">
        <v>15</v>
      </c>
      <c r="K10" s="129" t="s">
        <v>2</v>
      </c>
      <c r="L10" s="42"/>
      <c r="M10" s="42"/>
      <c r="N10" s="42"/>
      <c r="O10" s="42"/>
      <c r="P10" s="42"/>
      <c r="Q10" s="42"/>
      <c r="R10" s="129" t="s">
        <v>15</v>
      </c>
      <c r="S10" s="46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129" t="s">
        <v>15</v>
      </c>
      <c r="AG10" s="129" t="s">
        <v>15</v>
      </c>
      <c r="AH10" s="42"/>
      <c r="AI10" s="43">
        <f t="shared" si="0"/>
        <v>0</v>
      </c>
      <c r="AJ10" s="44">
        <f t="shared" si="1"/>
        <v>1</v>
      </c>
      <c r="AK10" s="44">
        <f t="shared" si="2"/>
        <v>0</v>
      </c>
      <c r="AL10" s="44">
        <f t="shared" si="3"/>
        <v>0</v>
      </c>
      <c r="AM10" s="45">
        <f t="shared" si="4"/>
        <v>4</v>
      </c>
    </row>
    <row r="11" spans="1:39">
      <c r="A11" s="95">
        <v>8</v>
      </c>
      <c r="B11" s="39" t="s">
        <v>35</v>
      </c>
      <c r="C11" s="40" t="s">
        <v>19</v>
      </c>
      <c r="D11" s="41" t="s">
        <v>3</v>
      </c>
      <c r="E11" s="42"/>
      <c r="F11" s="42"/>
      <c r="G11" s="42"/>
      <c r="H11" s="42"/>
      <c r="I11" s="129" t="s">
        <v>15</v>
      </c>
      <c r="J11" s="129" t="s">
        <v>15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>
        <f t="shared" si="0"/>
        <v>0</v>
      </c>
      <c r="AJ11" s="44">
        <f t="shared" si="1"/>
        <v>0</v>
      </c>
      <c r="AK11" s="44">
        <f t="shared" si="2"/>
        <v>1</v>
      </c>
      <c r="AL11" s="44">
        <f t="shared" si="3"/>
        <v>0</v>
      </c>
      <c r="AM11" s="45">
        <f t="shared" si="4"/>
        <v>2</v>
      </c>
    </row>
    <row r="12" spans="1:39">
      <c r="A12" s="95">
        <v>9</v>
      </c>
      <c r="B12" s="39" t="s">
        <v>36</v>
      </c>
      <c r="C12" s="40" t="s">
        <v>17</v>
      </c>
      <c r="D12" s="41"/>
      <c r="E12" s="41"/>
      <c r="F12" s="41" t="s">
        <v>20</v>
      </c>
      <c r="G12" s="42"/>
      <c r="H12" s="42"/>
      <c r="I12" s="42"/>
      <c r="J12" s="129" t="s">
        <v>2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129" t="s">
        <v>15</v>
      </c>
      <c r="W12" s="129" t="s">
        <v>15</v>
      </c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>
        <f t="shared" si="0"/>
        <v>0</v>
      </c>
      <c r="AJ12" s="44">
        <f t="shared" si="1"/>
        <v>1</v>
      </c>
      <c r="AK12" s="44">
        <f t="shared" si="2"/>
        <v>0</v>
      </c>
      <c r="AL12" s="44">
        <f t="shared" si="3"/>
        <v>0</v>
      </c>
      <c r="AM12" s="45">
        <f t="shared" si="4"/>
        <v>2</v>
      </c>
    </row>
    <row r="13" spans="1:39">
      <c r="A13" s="95">
        <v>10</v>
      </c>
      <c r="B13" s="47" t="s">
        <v>37</v>
      </c>
      <c r="C13" s="40" t="s">
        <v>21</v>
      </c>
      <c r="D13" s="41"/>
      <c r="E13" s="41"/>
      <c r="F13" s="41"/>
      <c r="G13" s="41" t="s">
        <v>20</v>
      </c>
      <c r="H13" s="42"/>
      <c r="I13" s="42"/>
      <c r="J13" s="42"/>
      <c r="K13" s="41"/>
      <c r="L13" s="128" t="s">
        <v>15</v>
      </c>
      <c r="M13" s="128" t="s">
        <v>15</v>
      </c>
      <c r="N13" s="128" t="s">
        <v>15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>
        <f t="shared" si="0"/>
        <v>0</v>
      </c>
      <c r="AJ13" s="44">
        <f t="shared" si="1"/>
        <v>0</v>
      </c>
      <c r="AK13" s="44">
        <f t="shared" si="2"/>
        <v>0</v>
      </c>
      <c r="AL13" s="44">
        <f t="shared" si="3"/>
        <v>0</v>
      </c>
      <c r="AM13" s="45">
        <f t="shared" si="4"/>
        <v>3</v>
      </c>
    </row>
    <row r="14" spans="1:39">
      <c r="A14" s="95">
        <v>11</v>
      </c>
      <c r="B14" s="48" t="s">
        <v>37</v>
      </c>
      <c r="C14" s="49" t="s">
        <v>22</v>
      </c>
      <c r="D14" s="50"/>
      <c r="E14" s="50"/>
      <c r="F14" s="50"/>
      <c r="G14" s="51"/>
      <c r="H14" s="51" t="s">
        <v>20</v>
      </c>
      <c r="I14" s="51"/>
      <c r="J14" s="51"/>
      <c r="K14" s="51"/>
      <c r="L14" s="51"/>
      <c r="M14" s="51"/>
      <c r="N14" s="51"/>
      <c r="O14" s="51"/>
      <c r="P14" s="51"/>
      <c r="Q14" s="129" t="s">
        <v>15</v>
      </c>
      <c r="R14" s="129" t="s">
        <v>15</v>
      </c>
      <c r="S14" s="129" t="s">
        <v>15</v>
      </c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2">
        <f t="shared" si="0"/>
        <v>0</v>
      </c>
      <c r="AJ14" s="53">
        <f t="shared" si="1"/>
        <v>0</v>
      </c>
      <c r="AK14" s="53">
        <f t="shared" si="2"/>
        <v>0</v>
      </c>
      <c r="AL14" s="53">
        <f t="shared" si="3"/>
        <v>0</v>
      </c>
      <c r="AM14" s="54">
        <f t="shared" si="4"/>
        <v>3</v>
      </c>
    </row>
    <row r="15" spans="1:39">
      <c r="A15" s="95">
        <v>12</v>
      </c>
      <c r="B15" s="48" t="s">
        <v>38</v>
      </c>
      <c r="C15" s="49" t="s">
        <v>23</v>
      </c>
      <c r="D15" s="50"/>
      <c r="E15" s="50"/>
      <c r="F15" s="50"/>
      <c r="G15" s="51"/>
      <c r="H15" s="51"/>
      <c r="I15" s="55"/>
      <c r="J15" s="129" t="s">
        <v>15</v>
      </c>
      <c r="K15" s="129" t="s">
        <v>15</v>
      </c>
      <c r="L15" s="129" t="s">
        <v>15</v>
      </c>
      <c r="M15" s="129" t="s">
        <v>15</v>
      </c>
      <c r="N15" s="129" t="s">
        <v>15</v>
      </c>
      <c r="O15" s="55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2">
        <f t="shared" si="0"/>
        <v>0</v>
      </c>
      <c r="AJ15" s="53">
        <f t="shared" si="1"/>
        <v>0</v>
      </c>
      <c r="AK15" s="53">
        <f t="shared" si="2"/>
        <v>0</v>
      </c>
      <c r="AL15" s="53">
        <f t="shared" si="3"/>
        <v>0</v>
      </c>
      <c r="AM15" s="54">
        <f t="shared" si="4"/>
        <v>5</v>
      </c>
    </row>
    <row r="16" spans="1:39">
      <c r="A16" s="95">
        <v>13</v>
      </c>
      <c r="B16" s="56" t="s">
        <v>39</v>
      </c>
      <c r="C16" s="57" t="s">
        <v>24</v>
      </c>
      <c r="D16" s="58"/>
      <c r="E16" s="58"/>
      <c r="F16" s="58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 t="s">
        <v>1</v>
      </c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2">
        <f t="shared" si="0"/>
        <v>1</v>
      </c>
      <c r="AJ16" s="53">
        <f t="shared" si="1"/>
        <v>0</v>
      </c>
      <c r="AK16" s="53">
        <f t="shared" si="2"/>
        <v>0</v>
      </c>
      <c r="AL16" s="53">
        <f t="shared" si="3"/>
        <v>0</v>
      </c>
      <c r="AM16" s="54">
        <f t="shared" si="4"/>
        <v>0</v>
      </c>
    </row>
    <row r="17" spans="1:39">
      <c r="A17" s="95">
        <v>14</v>
      </c>
      <c r="B17" s="56" t="s">
        <v>39</v>
      </c>
      <c r="C17" s="57" t="s">
        <v>16</v>
      </c>
      <c r="D17" s="58"/>
      <c r="E17" s="58"/>
      <c r="F17" s="58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132" t="s">
        <v>15</v>
      </c>
      <c r="Y17" s="132" t="s">
        <v>15</v>
      </c>
      <c r="Z17" s="59"/>
      <c r="AA17" s="59"/>
      <c r="AB17" s="59"/>
      <c r="AC17" s="59"/>
      <c r="AD17" s="59"/>
      <c r="AE17" s="59"/>
      <c r="AF17" s="59"/>
      <c r="AG17" s="59"/>
      <c r="AH17" s="59"/>
      <c r="AI17" s="52">
        <f t="shared" si="0"/>
        <v>0</v>
      </c>
      <c r="AJ17" s="53">
        <f t="shared" si="1"/>
        <v>0</v>
      </c>
      <c r="AK17" s="53">
        <f t="shared" si="2"/>
        <v>0</v>
      </c>
      <c r="AL17" s="53">
        <f t="shared" si="3"/>
        <v>0</v>
      </c>
      <c r="AM17" s="54">
        <f t="shared" si="4"/>
        <v>2</v>
      </c>
    </row>
    <row r="18" spans="1:39" ht="17.25" thickBot="1">
      <c r="A18" s="96">
        <v>15</v>
      </c>
      <c r="B18" s="60" t="s">
        <v>39</v>
      </c>
      <c r="C18" s="61"/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97">
        <f t="shared" si="0"/>
        <v>0</v>
      </c>
      <c r="AJ18" s="98">
        <f t="shared" si="1"/>
        <v>0</v>
      </c>
      <c r="AK18" s="98">
        <f t="shared" si="2"/>
        <v>0</v>
      </c>
      <c r="AL18" s="98">
        <f t="shared" si="3"/>
        <v>0</v>
      </c>
      <c r="AM18" s="99">
        <f t="shared" si="4"/>
        <v>0</v>
      </c>
    </row>
    <row r="19" spans="1:39">
      <c r="A19" s="1"/>
      <c r="B19" s="2"/>
      <c r="C19" s="16"/>
      <c r="D19" s="17"/>
      <c r="E19" s="17"/>
      <c r="F19" s="17" t="s">
        <v>25</v>
      </c>
      <c r="G19" s="17" t="s">
        <v>26</v>
      </c>
      <c r="H19" s="17" t="s">
        <v>26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J19" s="18"/>
      <c r="AK19" s="18"/>
      <c r="AL19" s="18"/>
      <c r="AM19" s="18"/>
    </row>
    <row r="20" spans="1:39">
      <c r="A20" s="1"/>
      <c r="B20" s="2"/>
      <c r="C20" s="19" t="s">
        <v>1</v>
      </c>
      <c r="D20" s="19">
        <f t="shared" ref="D20:AG20" si="5">COUNTIF(D3:D19,"D")</f>
        <v>0</v>
      </c>
      <c r="E20" s="19">
        <f t="shared" si="5"/>
        <v>0</v>
      </c>
      <c r="F20" s="19">
        <f t="shared" si="5"/>
        <v>0</v>
      </c>
      <c r="G20" s="19">
        <f t="shared" si="5"/>
        <v>0</v>
      </c>
      <c r="H20" s="19">
        <f t="shared" si="5"/>
        <v>0</v>
      </c>
      <c r="I20" s="19">
        <f t="shared" si="5"/>
        <v>0</v>
      </c>
      <c r="J20" s="19">
        <f t="shared" si="5"/>
        <v>0</v>
      </c>
      <c r="K20" s="19">
        <f t="shared" si="5"/>
        <v>0</v>
      </c>
      <c r="L20" s="19">
        <f t="shared" si="5"/>
        <v>0</v>
      </c>
      <c r="M20" s="19">
        <f t="shared" si="5"/>
        <v>0</v>
      </c>
      <c r="N20" s="19">
        <f t="shared" si="5"/>
        <v>0</v>
      </c>
      <c r="O20" s="19">
        <f t="shared" si="5"/>
        <v>0</v>
      </c>
      <c r="P20" s="19">
        <f t="shared" si="5"/>
        <v>0</v>
      </c>
      <c r="Q20" s="19">
        <f t="shared" si="5"/>
        <v>0</v>
      </c>
      <c r="R20" s="19">
        <f t="shared" si="5"/>
        <v>0</v>
      </c>
      <c r="S20" s="19">
        <f t="shared" si="5"/>
        <v>0</v>
      </c>
      <c r="T20" s="19">
        <f t="shared" si="5"/>
        <v>0</v>
      </c>
      <c r="U20" s="19">
        <f t="shared" si="5"/>
        <v>0</v>
      </c>
      <c r="V20" s="19">
        <f t="shared" si="5"/>
        <v>1</v>
      </c>
      <c r="W20" s="19">
        <f t="shared" si="5"/>
        <v>0</v>
      </c>
      <c r="X20" s="19">
        <f t="shared" si="5"/>
        <v>1</v>
      </c>
      <c r="Y20" s="19">
        <f t="shared" si="5"/>
        <v>0</v>
      </c>
      <c r="Z20" s="19">
        <f t="shared" si="5"/>
        <v>0</v>
      </c>
      <c r="AA20" s="19">
        <f t="shared" si="5"/>
        <v>0</v>
      </c>
      <c r="AB20" s="19">
        <f t="shared" si="5"/>
        <v>0</v>
      </c>
      <c r="AC20" s="19">
        <f t="shared" si="5"/>
        <v>0</v>
      </c>
      <c r="AD20" s="19">
        <f t="shared" si="5"/>
        <v>0</v>
      </c>
      <c r="AE20" s="19">
        <f t="shared" si="5"/>
        <v>0</v>
      </c>
      <c r="AF20" s="19">
        <f t="shared" si="5"/>
        <v>0</v>
      </c>
      <c r="AG20" s="19">
        <f t="shared" si="5"/>
        <v>0</v>
      </c>
      <c r="AH20" s="19"/>
      <c r="AI20" s="20"/>
      <c r="AJ20" s="20"/>
      <c r="AK20" s="20"/>
      <c r="AL20" s="20"/>
      <c r="AM20" s="20"/>
    </row>
    <row r="21" spans="1:39">
      <c r="B21" s="2"/>
      <c r="C21" s="19" t="s">
        <v>2</v>
      </c>
      <c r="D21" s="19">
        <f t="shared" ref="D21:AG21" si="6">COUNTIF(D3:D19,"E")</f>
        <v>1</v>
      </c>
      <c r="E21" s="19">
        <f t="shared" si="6"/>
        <v>1</v>
      </c>
      <c r="F21" s="19">
        <f t="shared" si="6"/>
        <v>0</v>
      </c>
      <c r="G21" s="19">
        <f t="shared" si="6"/>
        <v>0</v>
      </c>
      <c r="H21" s="19">
        <f t="shared" si="6"/>
        <v>0</v>
      </c>
      <c r="I21" s="19">
        <f t="shared" si="6"/>
        <v>0</v>
      </c>
      <c r="J21" s="19">
        <f t="shared" si="6"/>
        <v>3</v>
      </c>
      <c r="K21" s="19">
        <f t="shared" si="6"/>
        <v>1</v>
      </c>
      <c r="L21" s="19">
        <f t="shared" si="6"/>
        <v>0</v>
      </c>
      <c r="M21" s="19">
        <f t="shared" si="6"/>
        <v>0</v>
      </c>
      <c r="N21" s="19">
        <f t="shared" si="6"/>
        <v>0</v>
      </c>
      <c r="O21" s="19">
        <f t="shared" si="6"/>
        <v>0</v>
      </c>
      <c r="P21" s="19">
        <f t="shared" si="6"/>
        <v>0</v>
      </c>
      <c r="Q21" s="19">
        <f t="shared" si="6"/>
        <v>0</v>
      </c>
      <c r="R21" s="19">
        <f t="shared" si="6"/>
        <v>0</v>
      </c>
      <c r="S21" s="19">
        <f t="shared" si="6"/>
        <v>0</v>
      </c>
      <c r="T21" s="19">
        <f t="shared" si="6"/>
        <v>0</v>
      </c>
      <c r="U21" s="19">
        <f t="shared" si="6"/>
        <v>0</v>
      </c>
      <c r="V21" s="19">
        <f t="shared" si="6"/>
        <v>0</v>
      </c>
      <c r="W21" s="19">
        <f t="shared" si="6"/>
        <v>0</v>
      </c>
      <c r="X21" s="19">
        <f t="shared" si="6"/>
        <v>0</v>
      </c>
      <c r="Y21" s="19">
        <f t="shared" si="6"/>
        <v>0</v>
      </c>
      <c r="Z21" s="19">
        <f t="shared" si="6"/>
        <v>0</v>
      </c>
      <c r="AA21" s="19">
        <f t="shared" si="6"/>
        <v>0</v>
      </c>
      <c r="AB21" s="19">
        <f t="shared" si="6"/>
        <v>0</v>
      </c>
      <c r="AC21" s="19">
        <f t="shared" si="6"/>
        <v>0</v>
      </c>
      <c r="AD21" s="19">
        <f t="shared" si="6"/>
        <v>0</v>
      </c>
      <c r="AE21" s="19">
        <f t="shared" si="6"/>
        <v>0</v>
      </c>
      <c r="AF21" s="19">
        <f t="shared" si="6"/>
        <v>0</v>
      </c>
      <c r="AG21" s="19">
        <f t="shared" si="6"/>
        <v>0</v>
      </c>
      <c r="AH21" s="19"/>
      <c r="AI21" s="20"/>
      <c r="AJ21" s="20"/>
      <c r="AK21" s="20"/>
      <c r="AL21" s="20"/>
      <c r="AM21" s="20"/>
    </row>
    <row r="22" spans="1:39">
      <c r="B22" s="2"/>
      <c r="C22" s="19" t="s">
        <v>3</v>
      </c>
      <c r="D22" s="19">
        <f t="shared" ref="D22:AG22" si="7">COUNTIF(D3:D19,"N")</f>
        <v>1</v>
      </c>
      <c r="E22" s="19">
        <f t="shared" si="7"/>
        <v>0</v>
      </c>
      <c r="F22" s="19">
        <f t="shared" si="7"/>
        <v>0</v>
      </c>
      <c r="G22" s="19">
        <f t="shared" si="7"/>
        <v>0</v>
      </c>
      <c r="H22" s="19">
        <f t="shared" si="7"/>
        <v>0</v>
      </c>
      <c r="I22" s="19">
        <f t="shared" si="7"/>
        <v>1</v>
      </c>
      <c r="J22" s="19">
        <f t="shared" si="7"/>
        <v>0</v>
      </c>
      <c r="K22" s="19">
        <f t="shared" si="7"/>
        <v>0</v>
      </c>
      <c r="L22" s="19">
        <f t="shared" si="7"/>
        <v>0</v>
      </c>
      <c r="M22" s="19">
        <f t="shared" si="7"/>
        <v>0</v>
      </c>
      <c r="N22" s="19">
        <f t="shared" si="7"/>
        <v>0</v>
      </c>
      <c r="O22" s="19">
        <f t="shared" si="7"/>
        <v>0</v>
      </c>
      <c r="P22" s="19">
        <f t="shared" si="7"/>
        <v>0</v>
      </c>
      <c r="Q22" s="19">
        <f t="shared" si="7"/>
        <v>0</v>
      </c>
      <c r="R22" s="19">
        <f t="shared" si="7"/>
        <v>0</v>
      </c>
      <c r="S22" s="19">
        <f t="shared" si="7"/>
        <v>0</v>
      </c>
      <c r="T22" s="19">
        <f t="shared" si="7"/>
        <v>0</v>
      </c>
      <c r="U22" s="19">
        <f t="shared" si="7"/>
        <v>0</v>
      </c>
      <c r="V22" s="19">
        <f t="shared" si="7"/>
        <v>0</v>
      </c>
      <c r="W22" s="19">
        <f t="shared" si="7"/>
        <v>0</v>
      </c>
      <c r="X22" s="19">
        <f t="shared" si="7"/>
        <v>0</v>
      </c>
      <c r="Y22" s="19">
        <f t="shared" si="7"/>
        <v>0</v>
      </c>
      <c r="Z22" s="19">
        <f t="shared" si="7"/>
        <v>0</v>
      </c>
      <c r="AA22" s="19">
        <f t="shared" si="7"/>
        <v>0</v>
      </c>
      <c r="AB22" s="19">
        <f t="shared" si="7"/>
        <v>0</v>
      </c>
      <c r="AC22" s="19">
        <f t="shared" si="7"/>
        <v>0</v>
      </c>
      <c r="AD22" s="19">
        <f t="shared" si="7"/>
        <v>0</v>
      </c>
      <c r="AE22" s="19">
        <f t="shared" si="7"/>
        <v>0</v>
      </c>
      <c r="AF22" s="19">
        <f t="shared" si="7"/>
        <v>0</v>
      </c>
      <c r="AG22" s="19">
        <f t="shared" si="7"/>
        <v>0</v>
      </c>
      <c r="AH22" s="19"/>
      <c r="AI22" s="20"/>
      <c r="AJ22" s="20"/>
      <c r="AK22" s="20"/>
      <c r="AL22" s="20"/>
      <c r="AM22" s="20"/>
    </row>
    <row r="23" spans="1:39">
      <c r="B23" s="2"/>
      <c r="C23" s="19" t="s">
        <v>27</v>
      </c>
      <c r="D23" s="19">
        <f t="shared" ref="D23:AG23" si="8">COUNTIF(D3:D19,"P")</f>
        <v>0</v>
      </c>
      <c r="E23" s="19">
        <f t="shared" si="8"/>
        <v>0</v>
      </c>
      <c r="F23" s="19">
        <f t="shared" si="8"/>
        <v>0</v>
      </c>
      <c r="G23" s="19">
        <f t="shared" si="8"/>
        <v>0</v>
      </c>
      <c r="H23" s="19">
        <f t="shared" si="8"/>
        <v>0</v>
      </c>
      <c r="I23" s="19">
        <f t="shared" si="8"/>
        <v>0</v>
      </c>
      <c r="J23" s="19">
        <f t="shared" si="8"/>
        <v>0</v>
      </c>
      <c r="K23" s="19">
        <f t="shared" si="8"/>
        <v>0</v>
      </c>
      <c r="L23" s="19">
        <f t="shared" si="8"/>
        <v>0</v>
      </c>
      <c r="M23" s="19">
        <f t="shared" si="8"/>
        <v>0</v>
      </c>
      <c r="N23" s="19">
        <f t="shared" si="8"/>
        <v>0</v>
      </c>
      <c r="O23" s="19">
        <f t="shared" si="8"/>
        <v>0</v>
      </c>
      <c r="P23" s="19">
        <f t="shared" si="8"/>
        <v>0</v>
      </c>
      <c r="Q23" s="19">
        <f t="shared" si="8"/>
        <v>0</v>
      </c>
      <c r="R23" s="19">
        <f t="shared" si="8"/>
        <v>0</v>
      </c>
      <c r="S23" s="19">
        <f t="shared" si="8"/>
        <v>0</v>
      </c>
      <c r="T23" s="19">
        <f t="shared" si="8"/>
        <v>0</v>
      </c>
      <c r="U23" s="19">
        <f t="shared" si="8"/>
        <v>0</v>
      </c>
      <c r="V23" s="19">
        <f t="shared" si="8"/>
        <v>0</v>
      </c>
      <c r="W23" s="19">
        <f t="shared" si="8"/>
        <v>0</v>
      </c>
      <c r="X23" s="19">
        <f t="shared" si="8"/>
        <v>0</v>
      </c>
      <c r="Y23" s="19">
        <f t="shared" si="8"/>
        <v>0</v>
      </c>
      <c r="Z23" s="19">
        <f t="shared" si="8"/>
        <v>0</v>
      </c>
      <c r="AA23" s="19">
        <f t="shared" si="8"/>
        <v>0</v>
      </c>
      <c r="AB23" s="19">
        <f t="shared" si="8"/>
        <v>0</v>
      </c>
      <c r="AC23" s="19">
        <f t="shared" si="8"/>
        <v>0</v>
      </c>
      <c r="AD23" s="19">
        <f t="shared" si="8"/>
        <v>0</v>
      </c>
      <c r="AE23" s="19">
        <f t="shared" si="8"/>
        <v>0</v>
      </c>
      <c r="AF23" s="19">
        <f t="shared" si="8"/>
        <v>0</v>
      </c>
      <c r="AG23" s="19">
        <f t="shared" si="8"/>
        <v>0</v>
      </c>
      <c r="AH23" s="19"/>
      <c r="AI23" s="20"/>
      <c r="AJ23" s="20"/>
      <c r="AK23" s="20"/>
      <c r="AL23" s="20"/>
      <c r="AM23" s="20"/>
    </row>
    <row r="24" spans="1:39">
      <c r="B24" s="2"/>
      <c r="C24" s="21" t="s">
        <v>28</v>
      </c>
      <c r="D24" s="21">
        <f t="shared" ref="D24:AG24" si="9">COUNTIF(D3:D19,"F")</f>
        <v>0</v>
      </c>
      <c r="E24" s="21">
        <f t="shared" si="9"/>
        <v>0</v>
      </c>
      <c r="F24" s="21">
        <f t="shared" si="9"/>
        <v>0</v>
      </c>
      <c r="G24" s="21">
        <f t="shared" si="9"/>
        <v>0</v>
      </c>
      <c r="H24" s="21">
        <f t="shared" si="9"/>
        <v>0</v>
      </c>
      <c r="I24" s="21">
        <f t="shared" si="9"/>
        <v>0</v>
      </c>
      <c r="J24" s="21">
        <f t="shared" si="9"/>
        <v>0</v>
      </c>
      <c r="K24" s="21">
        <f t="shared" si="9"/>
        <v>0</v>
      </c>
      <c r="L24" s="21">
        <f t="shared" si="9"/>
        <v>0</v>
      </c>
      <c r="M24" s="21">
        <f t="shared" si="9"/>
        <v>0</v>
      </c>
      <c r="N24" s="21">
        <f t="shared" si="9"/>
        <v>0</v>
      </c>
      <c r="O24" s="21">
        <f t="shared" si="9"/>
        <v>0</v>
      </c>
      <c r="P24" s="21">
        <f t="shared" si="9"/>
        <v>0</v>
      </c>
      <c r="Q24" s="21">
        <f t="shared" si="9"/>
        <v>0</v>
      </c>
      <c r="R24" s="21">
        <f t="shared" si="9"/>
        <v>0</v>
      </c>
      <c r="S24" s="21">
        <f t="shared" si="9"/>
        <v>0</v>
      </c>
      <c r="T24" s="21">
        <f t="shared" si="9"/>
        <v>0</v>
      </c>
      <c r="U24" s="21">
        <f t="shared" si="9"/>
        <v>0</v>
      </c>
      <c r="V24" s="21">
        <f t="shared" si="9"/>
        <v>0</v>
      </c>
      <c r="W24" s="21">
        <f t="shared" si="9"/>
        <v>0</v>
      </c>
      <c r="X24" s="21">
        <f t="shared" si="9"/>
        <v>0</v>
      </c>
      <c r="Y24" s="21">
        <f t="shared" si="9"/>
        <v>0</v>
      </c>
      <c r="Z24" s="21">
        <f t="shared" si="9"/>
        <v>0</v>
      </c>
      <c r="AA24" s="21">
        <f t="shared" si="9"/>
        <v>0</v>
      </c>
      <c r="AB24" s="21">
        <f t="shared" si="9"/>
        <v>0</v>
      </c>
      <c r="AC24" s="21">
        <f t="shared" si="9"/>
        <v>0</v>
      </c>
      <c r="AD24" s="21">
        <f t="shared" si="9"/>
        <v>0</v>
      </c>
      <c r="AE24" s="21">
        <f t="shared" si="9"/>
        <v>0</v>
      </c>
      <c r="AF24" s="21">
        <f t="shared" si="9"/>
        <v>0</v>
      </c>
      <c r="AG24" s="21">
        <f t="shared" si="9"/>
        <v>0</v>
      </c>
      <c r="AH24" s="21"/>
      <c r="AI24" s="20"/>
      <c r="AJ24" s="20"/>
      <c r="AK24" s="20"/>
      <c r="AL24" s="20"/>
      <c r="AM24" s="20"/>
    </row>
    <row r="25" spans="1:39" ht="7.5" customHeight="1"/>
    <row r="26" spans="1:39" ht="137.25" customHeight="1">
      <c r="C26" s="133" t="s">
        <v>64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</row>
  </sheetData>
  <mergeCells count="5">
    <mergeCell ref="D1:AK1"/>
    <mergeCell ref="A2:A3"/>
    <mergeCell ref="B2:B3"/>
    <mergeCell ref="C2:C3"/>
    <mergeCell ref="C26:AM26"/>
  </mergeCells>
  <phoneticPr fontId="1" type="noConversion"/>
  <conditionalFormatting sqref="D2:AH3">
    <cfRule type="containsText" dxfId="5" priority="4" operator="containsText" text="N">
      <formula>NOT(ISERROR(SEARCH("N",D2)))</formula>
    </cfRule>
    <cfRule type="containsText" dxfId="4" priority="5" operator="containsText" text="E">
      <formula>NOT(ISERROR(SEARCH("E",D2)))</formula>
    </cfRule>
    <cfRule type="containsText" dxfId="3" priority="6" operator="containsText" text="D">
      <formula>NOT(ISERROR(SEARCH("D",D2)))</formula>
    </cfRule>
  </conditionalFormatting>
  <conditionalFormatting sqref="D3:AH3">
    <cfRule type="containsText" dxfId="2" priority="1" operator="containsText" text="N">
      <formula>NOT(ISERROR(SEARCH("N",D3)))</formula>
    </cfRule>
    <cfRule type="containsText" dxfId="1" priority="2" operator="containsText" text="E">
      <formula>NOT(ISERROR(SEARCH("E",D3)))</formula>
    </cfRule>
    <cfRule type="containsText" dxfId="0" priority="3" operator="containsText" text="D">
      <formula>NOT(ISERROR(SEARCH("D",D3)))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10월</vt:lpstr>
      <vt:lpstr>11월 연습용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45병동 공용</dc:creator>
  <cp:lastModifiedBy>장경아</cp:lastModifiedBy>
  <cp:lastPrinted>2026-10-13T02:02:17Z</cp:lastPrinted>
  <dcterms:created xsi:type="dcterms:W3CDTF">2026-10-12T02:49:23Z</dcterms:created>
  <dcterms:modified xsi:type="dcterms:W3CDTF">2026-10-13T06:39:26Z</dcterms:modified>
</cp:coreProperties>
</file>