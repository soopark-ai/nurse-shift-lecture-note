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121\Desktop\"/>
    </mc:Choice>
  </mc:AlternateContent>
  <xr:revisionPtr revIDLastSave="0" documentId="13_ncr:1_{68D8E58A-7705-4EAD-86AF-7B3D37DACC3A}" xr6:coauthVersionLast="47" xr6:coauthVersionMax="47" xr10:uidLastSave="{00000000-0000-0000-0000-000000000000}"/>
  <bookViews>
    <workbookView xWindow="3120" yWindow="3120" windowWidth="19200" windowHeight="12330" activeTab="2" xr2:uid="{CA13C771-1AEE-4840-9AB0-C28353921F4A}"/>
  </bookViews>
  <sheets>
    <sheet name="26.9월" sheetId="2" r:id="rId1"/>
    <sheet name="26.10월" sheetId="1" r:id="rId2"/>
    <sheet name="10월 근무연습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37" i="3" l="1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AL33" i="3"/>
  <c r="AK33" i="3"/>
  <c r="AJ33" i="3"/>
  <c r="AI33" i="3"/>
  <c r="AL32" i="3"/>
  <c r="AK32" i="3"/>
  <c r="AJ32" i="3"/>
  <c r="AI32" i="3"/>
  <c r="AL31" i="3"/>
  <c r="AK31" i="3"/>
  <c r="AJ31" i="3"/>
  <c r="AI31" i="3"/>
  <c r="AL30" i="3"/>
  <c r="AK30" i="3"/>
  <c r="AJ30" i="3"/>
  <c r="AI30" i="3"/>
  <c r="AL29" i="3"/>
  <c r="AK29" i="3"/>
  <c r="AJ29" i="3"/>
  <c r="AI29" i="3"/>
  <c r="AL28" i="3"/>
  <c r="AK28" i="3"/>
  <c r="AJ28" i="3"/>
  <c r="AI28" i="3"/>
  <c r="AL27" i="3"/>
  <c r="AK27" i="3"/>
  <c r="AJ27" i="3"/>
  <c r="AI27" i="3"/>
  <c r="AL26" i="3"/>
  <c r="AK26" i="3"/>
  <c r="AJ26" i="3"/>
  <c r="AI26" i="3"/>
  <c r="AL25" i="3"/>
  <c r="AK25" i="3"/>
  <c r="AJ25" i="3"/>
  <c r="AI25" i="3"/>
  <c r="AL24" i="3"/>
  <c r="AK24" i="3"/>
  <c r="AJ24" i="3"/>
  <c r="AI24" i="3"/>
  <c r="AL23" i="3"/>
  <c r="AK23" i="3"/>
  <c r="AJ23" i="3"/>
  <c r="AI23" i="3"/>
  <c r="AL22" i="3"/>
  <c r="AK22" i="3"/>
  <c r="AJ22" i="3"/>
  <c r="AI22" i="3"/>
  <c r="AL21" i="3"/>
  <c r="AK21" i="3"/>
  <c r="AJ21" i="3"/>
  <c r="AI21" i="3"/>
  <c r="AL20" i="3"/>
  <c r="AK20" i="3"/>
  <c r="AJ20" i="3"/>
  <c r="AI20" i="3"/>
  <c r="AL19" i="3"/>
  <c r="AK19" i="3"/>
  <c r="AJ19" i="3"/>
  <c r="AI19" i="3"/>
  <c r="AL18" i="3"/>
  <c r="AK18" i="3"/>
  <c r="AJ18" i="3"/>
  <c r="AI18" i="3"/>
  <c r="AL17" i="3"/>
  <c r="AK17" i="3"/>
  <c r="AJ17" i="3"/>
  <c r="AI17" i="3"/>
  <c r="AL16" i="3"/>
  <c r="AK16" i="3"/>
  <c r="AJ16" i="3"/>
  <c r="AI16" i="3"/>
  <c r="AL15" i="3"/>
  <c r="AK15" i="3"/>
  <c r="AJ15" i="3"/>
  <c r="AI15" i="3"/>
  <c r="AL14" i="3"/>
  <c r="AK14" i="3"/>
  <c r="AJ14" i="3"/>
  <c r="AI14" i="3"/>
  <c r="AL13" i="3"/>
  <c r="AK13" i="3"/>
  <c r="AJ13" i="3"/>
  <c r="AI13" i="3"/>
  <c r="AL12" i="3"/>
  <c r="AK12" i="3"/>
  <c r="AJ12" i="3"/>
  <c r="AI12" i="3"/>
  <c r="AL11" i="3"/>
  <c r="AK11" i="3"/>
  <c r="AJ11" i="3"/>
  <c r="AI11" i="3"/>
  <c r="AL10" i="3"/>
  <c r="AK10" i="3"/>
  <c r="AJ10" i="3"/>
  <c r="AI10" i="3"/>
  <c r="AL9" i="3"/>
  <c r="AK9" i="3"/>
  <c r="AJ9" i="3"/>
  <c r="AI9" i="3"/>
  <c r="AL8" i="3"/>
  <c r="AK8" i="3"/>
  <c r="AJ8" i="3"/>
  <c r="AI8" i="3"/>
  <c r="AL7" i="3"/>
  <c r="AK7" i="3"/>
  <c r="AJ7" i="3"/>
  <c r="AI7" i="3"/>
  <c r="AL6" i="3"/>
  <c r="AK6" i="3"/>
  <c r="AJ6" i="3"/>
  <c r="AI6" i="3"/>
  <c r="AL5" i="3"/>
  <c r="AK5" i="3"/>
  <c r="AJ5" i="3"/>
  <c r="AI5" i="3"/>
  <c r="AL4" i="3"/>
  <c r="AK4" i="3"/>
  <c r="AJ4" i="3"/>
  <c r="AI4" i="3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AL32" i="2"/>
  <c r="AK32" i="2"/>
  <c r="AJ32" i="2"/>
  <c r="AI32" i="2"/>
  <c r="AL31" i="2"/>
  <c r="AK31" i="2"/>
  <c r="AJ31" i="2"/>
  <c r="AI31" i="2"/>
  <c r="AL30" i="2"/>
  <c r="AK30" i="2"/>
  <c r="AJ30" i="2"/>
  <c r="AI30" i="2"/>
  <c r="AL29" i="2"/>
  <c r="AK29" i="2"/>
  <c r="AJ29" i="2"/>
  <c r="AI29" i="2"/>
  <c r="AL28" i="2"/>
  <c r="AK28" i="2"/>
  <c r="AJ28" i="2"/>
  <c r="AI28" i="2"/>
  <c r="AL27" i="2"/>
  <c r="AK27" i="2"/>
  <c r="AJ27" i="2"/>
  <c r="AI27" i="2"/>
  <c r="AL26" i="2"/>
  <c r="AK26" i="2"/>
  <c r="AJ26" i="2"/>
  <c r="AI26" i="2"/>
  <c r="AL25" i="2"/>
  <c r="AK25" i="2"/>
  <c r="AJ25" i="2"/>
  <c r="AI25" i="2"/>
  <c r="AL24" i="2"/>
  <c r="AK24" i="2"/>
  <c r="AJ24" i="2"/>
  <c r="AI24" i="2"/>
  <c r="AL23" i="2"/>
  <c r="AK23" i="2"/>
  <c r="AJ23" i="2"/>
  <c r="AI23" i="2"/>
  <c r="AL22" i="2"/>
  <c r="AK22" i="2"/>
  <c r="AJ22" i="2"/>
  <c r="AI22" i="2"/>
  <c r="AL21" i="2"/>
  <c r="AK21" i="2"/>
  <c r="AJ21" i="2"/>
  <c r="AI21" i="2"/>
  <c r="AL20" i="2"/>
  <c r="AK20" i="2"/>
  <c r="AJ20" i="2"/>
  <c r="AI20" i="2"/>
  <c r="AL19" i="2"/>
  <c r="AK19" i="2"/>
  <c r="AJ19" i="2"/>
  <c r="AI19" i="2"/>
  <c r="AL18" i="2"/>
  <c r="AK18" i="2"/>
  <c r="AJ18" i="2"/>
  <c r="AI18" i="2"/>
  <c r="AL17" i="2"/>
  <c r="AK17" i="2"/>
  <c r="AJ17" i="2"/>
  <c r="AI17" i="2"/>
  <c r="AL16" i="2"/>
  <c r="AK16" i="2"/>
  <c r="AJ16" i="2"/>
  <c r="AI16" i="2"/>
  <c r="AL15" i="2"/>
  <c r="AK15" i="2"/>
  <c r="AJ15" i="2"/>
  <c r="AI15" i="2"/>
  <c r="AL14" i="2"/>
  <c r="AK14" i="2"/>
  <c r="AJ14" i="2"/>
  <c r="AI14" i="2"/>
  <c r="AL13" i="2"/>
  <c r="AK13" i="2"/>
  <c r="AJ13" i="2"/>
  <c r="AI13" i="2"/>
  <c r="AL12" i="2"/>
  <c r="AK12" i="2"/>
  <c r="AJ12" i="2"/>
  <c r="AI12" i="2"/>
  <c r="AL11" i="2"/>
  <c r="AK11" i="2"/>
  <c r="AJ11" i="2"/>
  <c r="AI11" i="2"/>
  <c r="AL10" i="2"/>
  <c r="AK10" i="2"/>
  <c r="AJ10" i="2"/>
  <c r="AI10" i="2"/>
  <c r="AL9" i="2"/>
  <c r="AK9" i="2"/>
  <c r="AJ9" i="2"/>
  <c r="AI9" i="2"/>
  <c r="AL8" i="2"/>
  <c r="AK8" i="2"/>
  <c r="AJ8" i="2"/>
  <c r="AI8" i="2"/>
  <c r="AL7" i="2"/>
  <c r="AK7" i="2"/>
  <c r="AJ7" i="2"/>
  <c r="AI7" i="2"/>
  <c r="AL6" i="2"/>
  <c r="AK6" i="2"/>
  <c r="AJ6" i="2"/>
  <c r="AI6" i="2"/>
  <c r="AL5" i="2"/>
  <c r="AK5" i="2"/>
  <c r="AJ5" i="2"/>
  <c r="AI5" i="2"/>
  <c r="AL4" i="2"/>
  <c r="AK4" i="2"/>
  <c r="AJ4" i="2"/>
  <c r="AI4" i="2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L33" i="1"/>
  <c r="AK33" i="1"/>
  <c r="AJ33" i="1"/>
  <c r="AI33" i="1"/>
  <c r="AL32" i="1"/>
  <c r="AK32" i="1"/>
  <c r="AJ32" i="1"/>
  <c r="AI32" i="1"/>
  <c r="AL31" i="1"/>
  <c r="AK31" i="1"/>
  <c r="AJ31" i="1"/>
  <c r="AI31" i="1"/>
  <c r="AL30" i="1"/>
  <c r="AK30" i="1"/>
  <c r="AJ30" i="1"/>
  <c r="AI30" i="1"/>
  <c r="AL29" i="1"/>
  <c r="AK29" i="1"/>
  <c r="AJ29" i="1"/>
  <c r="AI29" i="1"/>
  <c r="AL28" i="1"/>
  <c r="AK28" i="1"/>
  <c r="AJ28" i="1"/>
  <c r="AI28" i="1"/>
  <c r="AL27" i="1"/>
  <c r="AK27" i="1"/>
  <c r="AJ27" i="1"/>
  <c r="AI27" i="1"/>
  <c r="AL26" i="1"/>
  <c r="AK26" i="1"/>
  <c r="AJ26" i="1"/>
  <c r="AI26" i="1"/>
  <c r="AL25" i="1"/>
  <c r="AK25" i="1"/>
  <c r="AJ25" i="1"/>
  <c r="AI25" i="1"/>
  <c r="AL24" i="1"/>
  <c r="AK24" i="1"/>
  <c r="AJ24" i="1"/>
  <c r="AI24" i="1"/>
  <c r="AL23" i="1"/>
  <c r="AK23" i="1"/>
  <c r="AJ23" i="1"/>
  <c r="AI23" i="1"/>
  <c r="AL22" i="1"/>
  <c r="AK22" i="1"/>
  <c r="AJ22" i="1"/>
  <c r="AI22" i="1"/>
  <c r="AL21" i="1"/>
  <c r="AK21" i="1"/>
  <c r="AJ21" i="1"/>
  <c r="AI21" i="1"/>
  <c r="AL20" i="1"/>
  <c r="AK20" i="1"/>
  <c r="AJ20" i="1"/>
  <c r="AI20" i="1"/>
  <c r="AL19" i="1"/>
  <c r="AK19" i="1"/>
  <c r="AJ19" i="1"/>
  <c r="AI19" i="1"/>
  <c r="AL18" i="1"/>
  <c r="AK18" i="1"/>
  <c r="AJ18" i="1"/>
  <c r="AI18" i="1"/>
  <c r="AL17" i="1"/>
  <c r="AK17" i="1"/>
  <c r="AJ17" i="1"/>
  <c r="AI17" i="1"/>
  <c r="AL16" i="1"/>
  <c r="AK16" i="1"/>
  <c r="AJ16" i="1"/>
  <c r="AI16" i="1"/>
  <c r="AL15" i="1"/>
  <c r="AK15" i="1"/>
  <c r="AJ15" i="1"/>
  <c r="AI15" i="1"/>
  <c r="AL14" i="1"/>
  <c r="AK14" i="1"/>
  <c r="AJ14" i="1"/>
  <c r="AI14" i="1"/>
  <c r="AL13" i="1"/>
  <c r="AK13" i="1"/>
  <c r="AJ13" i="1"/>
  <c r="AI13" i="1"/>
  <c r="AL12" i="1"/>
  <c r="AK12" i="1"/>
  <c r="AJ12" i="1"/>
  <c r="AI12" i="1"/>
  <c r="AL11" i="1"/>
  <c r="AK11" i="1"/>
  <c r="AJ11" i="1"/>
  <c r="AI11" i="1"/>
  <c r="AL10" i="1"/>
  <c r="AK10" i="1"/>
  <c r="AJ10" i="1"/>
  <c r="AI10" i="1"/>
  <c r="AL9" i="1"/>
  <c r="AK9" i="1"/>
  <c r="AJ9" i="1"/>
  <c r="AI9" i="1"/>
  <c r="AL8" i="1"/>
  <c r="AK8" i="1"/>
  <c r="AJ8" i="1"/>
  <c r="AI8" i="1"/>
  <c r="AL7" i="1"/>
  <c r="AK7" i="1"/>
  <c r="AJ7" i="1"/>
  <c r="AI7" i="1"/>
  <c r="AL6" i="1"/>
  <c r="AK6" i="1"/>
  <c r="AJ6" i="1"/>
  <c r="AI6" i="1"/>
  <c r="AL5" i="1"/>
  <c r="AK5" i="1"/>
  <c r="AJ5" i="1"/>
  <c r="AI5" i="1"/>
  <c r="AL4" i="1"/>
  <c r="AK4" i="1"/>
  <c r="AJ4" i="1"/>
  <c r="AI4" i="1"/>
  <c r="AI34" i="3" l="1"/>
  <c r="AI33" i="2"/>
  <c r="AI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내과계중환자실 공용</author>
  </authors>
  <commentList>
    <comment ref="V7" authorId="0" shapeId="0" xr:uid="{C39851A9-5D27-459A-B220-DB5FB2B20657}">
      <text>
        <r>
          <rPr>
            <sz val="11"/>
            <color rgb="FF000000"/>
            <rFont val="맑은 고딕"/>
            <family val="3"/>
            <charset val="129"/>
          </rPr>
          <t>N.OFF가능</t>
        </r>
      </text>
    </comment>
    <comment ref="AC7" authorId="0" shapeId="0" xr:uid="{CBDFE583-B9EF-4418-9A5B-4E6F9545A854}">
      <text>
        <r>
          <rPr>
            <sz val="11"/>
            <color rgb="FF000000"/>
            <rFont val="맑은 고딕"/>
            <family val="3"/>
            <charset val="129"/>
          </rPr>
          <t>N.OFF가능</t>
        </r>
      </text>
    </comment>
    <comment ref="H13" authorId="0" shapeId="0" xr:uid="{B22EA52F-4164-40DB-A462-E8BEB122857A}">
      <text>
        <r>
          <rPr>
            <sz val="11"/>
            <color rgb="FF000000"/>
            <rFont val="맑은 고딕"/>
            <family val="3"/>
            <charset val="129"/>
          </rPr>
          <t>D빼고 다 가능</t>
        </r>
      </text>
    </comment>
    <comment ref="P15" authorId="0" shapeId="0" xr:uid="{B7C4E2B3-EA0F-4044-B33B-45981349F13E}">
      <text>
        <r>
          <rPr>
            <sz val="11"/>
            <color rgb="FF000000"/>
            <rFont val="맑은 고딕"/>
            <family val="3"/>
            <charset val="129"/>
          </rPr>
          <t>N 가능</t>
        </r>
      </text>
    </comment>
    <comment ref="H29" authorId="0" shapeId="0" xr:uid="{2E408B54-8958-4D1C-B231-B010C38C459F}">
      <text>
        <r>
          <rPr>
            <sz val="11"/>
            <color rgb="FF000000"/>
            <rFont val="맑은 고딕"/>
            <family val="3"/>
            <charset val="129"/>
          </rPr>
          <t>E.OFF가능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MICU 공용</author>
  </authors>
  <commentList>
    <comment ref="AH10" authorId="0" shapeId="0" xr:uid="{8B04E25B-4C2A-4BD2-AD3C-8DE95E1FD4C6}">
      <text>
        <r>
          <rPr>
            <b/>
            <sz val="9"/>
            <color rgb="FF000000"/>
            <rFont val="Tahoma"/>
            <family val="2"/>
          </rPr>
          <t>N</t>
        </r>
        <r>
          <rPr>
            <b/>
            <sz val="9"/>
            <color rgb="FF000000"/>
            <rFont val="돋움"/>
            <family val="3"/>
            <charset val="129"/>
          </rPr>
          <t>가능</t>
        </r>
      </text>
    </comment>
    <comment ref="P14" authorId="0" shapeId="0" xr:uid="{5F89BFDA-2D43-495F-AF4E-30988ECE0895}">
      <text>
        <r>
          <rPr>
            <b/>
            <sz val="9"/>
            <color rgb="FF000000"/>
            <rFont val="돋움"/>
            <family val="3"/>
            <charset val="129"/>
          </rPr>
          <t>예비군훈련</t>
        </r>
      </text>
    </comment>
    <comment ref="F24" authorId="0" shapeId="0" xr:uid="{4BC9CB29-3B05-45D2-B0D0-F20CDA586BFD}">
      <text>
        <r>
          <rPr>
            <b/>
            <sz val="9"/>
            <color rgb="FF000000"/>
            <rFont val="Tahoma"/>
            <family val="2"/>
          </rPr>
          <t>E</t>
        </r>
        <r>
          <rPr>
            <b/>
            <sz val="9"/>
            <color rgb="FF000000"/>
            <rFont val="돋움"/>
            <family val="3"/>
            <charset val="129"/>
          </rPr>
          <t>가능</t>
        </r>
      </text>
    </comment>
    <comment ref="L24" authorId="0" shapeId="0" xr:uid="{30978843-EB13-4EAC-AE32-95F541FAF08C}">
      <text>
        <r>
          <rPr>
            <b/>
            <sz val="9"/>
            <color rgb="FF000000"/>
            <rFont val="Tahoma"/>
            <family val="2"/>
          </rPr>
          <t>D</t>
        </r>
        <r>
          <rPr>
            <b/>
            <sz val="9"/>
            <color rgb="FF000000"/>
            <rFont val="돋움"/>
            <family val="3"/>
            <charset val="129"/>
          </rPr>
          <t>가능</t>
        </r>
      </text>
    </comment>
    <comment ref="M24" authorId="0" shapeId="0" xr:uid="{D677886E-51FF-4CF6-A128-B856E1EA6930}">
      <text>
        <r>
          <rPr>
            <b/>
            <sz val="9"/>
            <color rgb="FF000000"/>
            <rFont val="Tahoma"/>
            <family val="2"/>
          </rPr>
          <t>N</t>
        </r>
        <r>
          <rPr>
            <b/>
            <sz val="9"/>
            <color rgb="FF000000"/>
            <rFont val="돋움"/>
            <family val="3"/>
            <charset val="129"/>
          </rPr>
          <t>가능</t>
        </r>
      </text>
    </comment>
    <comment ref="T24" authorId="0" shapeId="0" xr:uid="{FC63058B-621D-4E16-BDA5-6E83719E511B}">
      <text>
        <r>
          <rPr>
            <b/>
            <sz val="9"/>
            <color rgb="FF000000"/>
            <rFont val="Tahoma"/>
            <family val="2"/>
          </rPr>
          <t>D</t>
        </r>
        <r>
          <rPr>
            <b/>
            <sz val="9"/>
            <color rgb="FF000000"/>
            <rFont val="돋움"/>
            <family val="3"/>
            <charset val="129"/>
          </rPr>
          <t>가능</t>
        </r>
      </text>
    </comment>
    <comment ref="U24" authorId="0" shapeId="0" xr:uid="{34565D4D-7C27-4455-A138-469EC7E472A4}">
      <text>
        <r>
          <rPr>
            <b/>
            <sz val="9"/>
            <color rgb="FF000000"/>
            <rFont val="Tahoma"/>
            <family val="2"/>
          </rPr>
          <t>E,N</t>
        </r>
        <r>
          <rPr>
            <b/>
            <sz val="9"/>
            <color rgb="FF000000"/>
            <rFont val="돋움"/>
            <family val="3"/>
            <charset val="129"/>
          </rPr>
          <t>가능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MICU 공용</author>
  </authors>
  <commentList>
    <comment ref="AH10" authorId="0" shapeId="0" xr:uid="{AD59EA5E-ECA2-46B4-AB4C-C7B330511439}">
      <text>
        <r>
          <rPr>
            <b/>
            <sz val="9"/>
            <color rgb="FF000000"/>
            <rFont val="Tahoma"/>
            <family val="2"/>
          </rPr>
          <t>N</t>
        </r>
        <r>
          <rPr>
            <b/>
            <sz val="9"/>
            <color rgb="FF000000"/>
            <rFont val="돋움"/>
            <family val="3"/>
            <charset val="129"/>
          </rPr>
          <t>가능</t>
        </r>
      </text>
    </comment>
    <comment ref="P14" authorId="0" shapeId="0" xr:uid="{D44ABF95-BBC0-4F68-82FB-F24BC01086A6}">
      <text>
        <r>
          <rPr>
            <b/>
            <sz val="9"/>
            <color rgb="FF000000"/>
            <rFont val="돋움"/>
            <family val="3"/>
            <charset val="129"/>
          </rPr>
          <t>예비군훈련</t>
        </r>
      </text>
    </comment>
    <comment ref="F24" authorId="0" shapeId="0" xr:uid="{4C183F31-901D-436F-971E-385D50CB4120}">
      <text>
        <r>
          <rPr>
            <b/>
            <sz val="9"/>
            <color rgb="FF000000"/>
            <rFont val="Tahoma"/>
            <family val="2"/>
          </rPr>
          <t>E</t>
        </r>
        <r>
          <rPr>
            <b/>
            <sz val="9"/>
            <color rgb="FF000000"/>
            <rFont val="돋움"/>
            <family val="3"/>
            <charset val="129"/>
          </rPr>
          <t>가능</t>
        </r>
      </text>
    </comment>
    <comment ref="L24" authorId="0" shapeId="0" xr:uid="{98AB18EF-35F2-4012-8116-7C496CAD93CC}">
      <text>
        <r>
          <rPr>
            <b/>
            <sz val="9"/>
            <color rgb="FF000000"/>
            <rFont val="Tahoma"/>
            <family val="2"/>
          </rPr>
          <t>D</t>
        </r>
        <r>
          <rPr>
            <b/>
            <sz val="9"/>
            <color rgb="FF000000"/>
            <rFont val="돋움"/>
            <family val="3"/>
            <charset val="129"/>
          </rPr>
          <t>가능</t>
        </r>
      </text>
    </comment>
    <comment ref="M24" authorId="0" shapeId="0" xr:uid="{D83AACCB-9A2F-4472-8392-736B3613E15C}">
      <text>
        <r>
          <rPr>
            <b/>
            <sz val="9"/>
            <color rgb="FF000000"/>
            <rFont val="Tahoma"/>
            <family val="2"/>
          </rPr>
          <t>N</t>
        </r>
        <r>
          <rPr>
            <b/>
            <sz val="9"/>
            <color rgb="FF000000"/>
            <rFont val="돋움"/>
            <family val="3"/>
            <charset val="129"/>
          </rPr>
          <t>가능</t>
        </r>
      </text>
    </comment>
    <comment ref="T24" authorId="0" shapeId="0" xr:uid="{2C244963-2052-4557-AC8C-2CB004A914C3}">
      <text>
        <r>
          <rPr>
            <b/>
            <sz val="9"/>
            <color rgb="FF000000"/>
            <rFont val="Tahoma"/>
            <family val="2"/>
          </rPr>
          <t>D</t>
        </r>
        <r>
          <rPr>
            <b/>
            <sz val="9"/>
            <color rgb="FF000000"/>
            <rFont val="돋움"/>
            <family val="3"/>
            <charset val="129"/>
          </rPr>
          <t>가능</t>
        </r>
      </text>
    </comment>
    <comment ref="U24" authorId="0" shapeId="0" xr:uid="{F76E0DAF-061A-475F-8C86-FD33A151E8AC}">
      <text>
        <r>
          <rPr>
            <b/>
            <sz val="9"/>
            <color rgb="FF000000"/>
            <rFont val="Tahoma"/>
            <family val="2"/>
          </rPr>
          <t>E,N</t>
        </r>
        <r>
          <rPr>
            <b/>
            <sz val="9"/>
            <color rgb="FF000000"/>
            <rFont val="돋움"/>
            <family val="3"/>
            <charset val="129"/>
          </rPr>
          <t>가능</t>
        </r>
      </text>
    </comment>
  </commentList>
</comments>
</file>

<file path=xl/sharedStrings.xml><?xml version="1.0" encoding="utf-8"?>
<sst xmlns="http://schemas.openxmlformats.org/spreadsheetml/2006/main" count="2059" uniqueCount="60">
  <si>
    <t>성명(사번)</t>
  </si>
  <si>
    <t>D</t>
  </si>
  <si>
    <t>E</t>
  </si>
  <si>
    <t>N</t>
  </si>
  <si>
    <t>O</t>
  </si>
  <si>
    <t>목</t>
  </si>
  <si>
    <t>금</t>
  </si>
  <si>
    <t>토</t>
  </si>
  <si>
    <t>일</t>
  </si>
  <si>
    <t>월</t>
  </si>
  <si>
    <t>화</t>
  </si>
  <si>
    <t>수</t>
  </si>
  <si>
    <t>A</t>
  </si>
  <si>
    <t>C</t>
  </si>
  <si>
    <t>T</t>
  </si>
  <si>
    <t>B</t>
  </si>
  <si>
    <t>O</t>
    <phoneticPr fontId="6" type="noConversion"/>
  </si>
  <si>
    <t>D</t>
    <phoneticPr fontId="6" type="noConversion"/>
  </si>
  <si>
    <t>DT</t>
  </si>
  <si>
    <t>ET</t>
  </si>
  <si>
    <t>NT</t>
  </si>
  <si>
    <t>De</t>
  </si>
  <si>
    <t>W</t>
  </si>
  <si>
    <t xml:space="preserve">                                   </t>
  </si>
  <si>
    <t>d</t>
  </si>
  <si>
    <t>o</t>
  </si>
  <si>
    <t>e</t>
  </si>
  <si>
    <t>Dt</t>
  </si>
  <si>
    <r>
      <t xml:space="preserve">                               2026년 9월 bb병동 근무표(오프만 10개) 근무조</t>
    </r>
    <r>
      <rPr>
        <b/>
        <sz val="12"/>
        <color rgb="FF000000"/>
        <rFont val="맑은 고딕"/>
        <family val="3"/>
        <charset val="129"/>
      </rPr>
      <t>(5-5-5)</t>
    </r>
    <phoneticPr fontId="3" type="noConversion"/>
  </si>
  <si>
    <t>(사번)</t>
    <phoneticPr fontId="3" type="noConversion"/>
  </si>
  <si>
    <t>[215-2]</t>
    <phoneticPr fontId="3" type="noConversion"/>
  </si>
  <si>
    <t>[217-2]</t>
    <phoneticPr fontId="3" type="noConversion"/>
  </si>
  <si>
    <t>[223-1]</t>
    <phoneticPr fontId="3" type="noConversion"/>
  </si>
  <si>
    <t>[217-4]</t>
    <phoneticPr fontId="3" type="noConversion"/>
  </si>
  <si>
    <t>[219-1]</t>
    <phoneticPr fontId="3" type="noConversion"/>
  </si>
  <si>
    <t>[221-8]</t>
    <phoneticPr fontId="3" type="noConversion"/>
  </si>
  <si>
    <t>[223-3]</t>
    <phoneticPr fontId="3" type="noConversion"/>
  </si>
  <si>
    <t>[226-0]</t>
    <phoneticPr fontId="3" type="noConversion"/>
  </si>
  <si>
    <t>[226-2]</t>
    <phoneticPr fontId="3" type="noConversion"/>
  </si>
  <si>
    <t>[218-3]</t>
    <phoneticPr fontId="3" type="noConversion"/>
  </si>
  <si>
    <t>[219-0]</t>
    <phoneticPr fontId="3" type="noConversion"/>
  </si>
  <si>
    <t>[226-4]</t>
    <phoneticPr fontId="3" type="noConversion"/>
  </si>
  <si>
    <t>[226-3]</t>
    <phoneticPr fontId="3" type="noConversion"/>
  </si>
  <si>
    <t>[223-2]</t>
    <phoneticPr fontId="3" type="noConversion"/>
  </si>
  <si>
    <t>[405-8]</t>
    <phoneticPr fontId="3" type="noConversion"/>
  </si>
  <si>
    <t>[218-0]</t>
    <phoneticPr fontId="3" type="noConversion"/>
  </si>
  <si>
    <t>[226-3</t>
    <phoneticPr fontId="3" type="noConversion"/>
  </si>
  <si>
    <t>[220-0]</t>
    <phoneticPr fontId="3" type="noConversion"/>
  </si>
  <si>
    <t>[226-1]</t>
    <phoneticPr fontId="3" type="noConversion"/>
  </si>
  <si>
    <t>[218-1]</t>
    <phoneticPr fontId="3" type="noConversion"/>
  </si>
  <si>
    <t>[233-4]</t>
    <phoneticPr fontId="3" type="noConversion"/>
  </si>
  <si>
    <t>[218-7]</t>
    <phoneticPr fontId="3" type="noConversion"/>
  </si>
  <si>
    <r>
      <t xml:space="preserve">2026년 10월 bb병동 근무표 : 근무조 5-5-5 (오프만 11개) </t>
    </r>
    <r>
      <rPr>
        <b/>
        <sz val="12"/>
        <color rgb="FF000000"/>
        <rFont val="맑은 고딕"/>
        <family val="3"/>
        <charset val="129"/>
      </rPr>
      <t xml:space="preserve">  </t>
    </r>
    <phoneticPr fontId="3" type="noConversion"/>
  </si>
  <si>
    <t>O</t>
    <phoneticPr fontId="3" type="noConversion"/>
  </si>
  <si>
    <t>신규</t>
    <phoneticPr fontId="3" type="noConversion"/>
  </si>
  <si>
    <t>독립</t>
    <phoneticPr fontId="3" type="noConversion"/>
  </si>
  <si>
    <t>간호사</t>
    <phoneticPr fontId="3" type="noConversion"/>
  </si>
  <si>
    <t>조</t>
    <phoneticPr fontId="3" type="noConversion"/>
  </si>
  <si>
    <r>
      <rPr>
        <sz val="11"/>
        <color theme="1"/>
        <rFont val="맑은 고딕"/>
        <family val="3"/>
        <charset val="129"/>
      </rPr>
      <t>♣</t>
    </r>
    <r>
      <rPr>
        <sz val="11"/>
        <color theme="1"/>
        <rFont val="맑은 고딕"/>
        <family val="2"/>
        <charset val="129"/>
        <scheme val="minor"/>
      </rPr>
      <t xml:space="preserve"> bb병동 특성 : A~E조로 4~6명씩 조를 짜서 근무표작성 : 고연차와 저연차 간호사를 한조에 같이 배정
♣ 근무조당(D-E-N) 각각 5-5-5명이 근무가 되도록 작성한다.
♣ 23번과 14번은 임신자로 D근무만 가능
♣ 5번은 책임 간호사로 월~목: E, 금,토 O, 일요일 D근무 원칙으로 근무편성
♣ 신규간호사 19번, 26번 의 신청 Dt, Et, De는 프리셉터 교육일이며 반드시 주어야 한다. 19번은 10월 한달 모두 교육일이며,       
    26번은 10월 26일 부터 독입일로 근무조 5-5-5에 편성된다. 
♣ 29번 신규는 10월 26일 부터 교육받는다.</t>
    </r>
    <r>
      <rPr>
        <sz val="11"/>
        <color theme="1"/>
        <rFont val="맑은 고딕"/>
        <family val="3"/>
        <charset val="129"/>
        <scheme val="minor"/>
      </rPr>
      <t xml:space="preserve">
♣ 노란색칸의 근무는 신청근무
♣ T : 노조교육</t>
    </r>
    <phoneticPr fontId="3" type="noConversion"/>
  </si>
  <si>
    <r>
      <rPr>
        <sz val="11"/>
        <color theme="1"/>
        <rFont val="맑은 고딕"/>
        <family val="3"/>
        <charset val="129"/>
      </rPr>
      <t>♣</t>
    </r>
    <r>
      <rPr>
        <sz val="11"/>
        <color theme="1"/>
        <rFont val="맑은 고딕"/>
        <family val="2"/>
        <charset val="129"/>
        <scheme val="minor"/>
      </rPr>
      <t>19번 간호사 9월 21일  근무(프리셉터) 교육 시작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</si>
</sst>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b/>
      <i/>
      <sz val="10"/>
      <color rgb="FF000000"/>
      <name val="맑은 고딕"/>
      <family val="3"/>
      <charset val="129"/>
    </font>
    <font>
      <b/>
      <sz val="6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2CE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42C7F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3">
    <xf numFmtId="0" fontId="0" fillId="0" borderId="0" xfId="0">
      <alignment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center" vertical="center"/>
    </xf>
    <xf numFmtId="0" fontId="4" fillId="4" borderId="30" xfId="0" applyFont="1" applyFill="1" applyBorder="1">
      <alignment vertical="center"/>
    </xf>
    <xf numFmtId="0" fontId="4" fillId="4" borderId="36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0" fontId="5" fillId="4" borderId="44" xfId="0" applyFont="1" applyFill="1" applyBorder="1" applyAlignment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/>
    </xf>
    <xf numFmtId="0" fontId="5" fillId="7" borderId="44" xfId="0" applyFont="1" applyFill="1" applyBorder="1" applyAlignment="1">
      <alignment horizontal="center" vertical="center"/>
    </xf>
    <xf numFmtId="0" fontId="5" fillId="6" borderId="44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5" fillId="9" borderId="27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47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9" fillId="4" borderId="43" xfId="0" applyFont="1" applyFill="1" applyBorder="1" applyAlignment="1">
      <alignment vertical="center" wrapText="1"/>
    </xf>
    <xf numFmtId="0" fontId="9" fillId="4" borderId="44" xfId="0" applyFont="1" applyFill="1" applyBorder="1" applyAlignment="1">
      <alignment vertical="center" wrapText="1"/>
    </xf>
    <xf numFmtId="0" fontId="8" fillId="4" borderId="47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vertical="center" wrapText="1"/>
    </xf>
    <xf numFmtId="0" fontId="9" fillId="4" borderId="25" xfId="0" applyFont="1" applyFill="1" applyBorder="1" applyAlignment="1">
      <alignment vertical="center" wrapText="1"/>
    </xf>
    <xf numFmtId="0" fontId="8" fillId="4" borderId="16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vertical="center" wrapText="1"/>
    </xf>
    <xf numFmtId="0" fontId="4" fillId="4" borderId="25" xfId="0" applyFont="1" applyFill="1" applyBorder="1" applyAlignment="1">
      <alignment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8" fillId="4" borderId="0" xfId="0" applyFont="1" applyFill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4" fillId="4" borderId="47" xfId="0" applyFont="1" applyFill="1" applyBorder="1" applyAlignment="1">
      <alignment horizontal="center" vertical="center"/>
    </xf>
    <xf numFmtId="0" fontId="5" fillId="11" borderId="25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horizontal="center" vertical="center"/>
    </xf>
    <xf numFmtId="0" fontId="5" fillId="4" borderId="50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 vertical="center"/>
    </xf>
    <xf numFmtId="0" fontId="5" fillId="11" borderId="44" xfId="0" applyFont="1" applyFill="1" applyBorder="1" applyAlignment="1">
      <alignment horizontal="center" vertical="center"/>
    </xf>
    <xf numFmtId="0" fontId="5" fillId="4" borderId="51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7" borderId="39" xfId="0" applyFont="1" applyFill="1" applyBorder="1" applyAlignment="1">
      <alignment horizontal="center" vertical="center"/>
    </xf>
    <xf numFmtId="0" fontId="5" fillId="8" borderId="39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12" borderId="25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5" fillId="9" borderId="37" xfId="0" applyFont="1" applyFill="1" applyBorder="1" applyAlignment="1">
      <alignment horizontal="center" vertical="center"/>
    </xf>
    <xf numFmtId="0" fontId="5" fillId="13" borderId="25" xfId="0" applyFont="1" applyFill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/>
    </xf>
    <xf numFmtId="0" fontId="5" fillId="12" borderId="15" xfId="0" applyFont="1" applyFill="1" applyBorder="1" applyAlignment="1">
      <alignment horizontal="center" vertical="center"/>
    </xf>
    <xf numFmtId="0" fontId="4" fillId="4" borderId="52" xfId="0" applyFont="1" applyFill="1" applyBorder="1" applyAlignment="1">
      <alignment horizontal="center" vertical="center"/>
    </xf>
    <xf numFmtId="0" fontId="12" fillId="11" borderId="44" xfId="0" applyFont="1" applyFill="1" applyBorder="1" applyAlignment="1">
      <alignment horizontal="center" vertical="center"/>
    </xf>
    <xf numFmtId="0" fontId="5" fillId="8" borderId="52" xfId="0" applyFont="1" applyFill="1" applyBorder="1" applyAlignment="1">
      <alignment horizontal="center" vertical="center"/>
    </xf>
    <xf numFmtId="0" fontId="5" fillId="11" borderId="39" xfId="0" applyFont="1" applyFill="1" applyBorder="1" applyAlignment="1">
      <alignment horizontal="center" vertical="center"/>
    </xf>
    <xf numFmtId="0" fontId="4" fillId="4" borderId="33" xfId="0" applyFont="1" applyFill="1" applyBorder="1">
      <alignment vertical="center"/>
    </xf>
    <xf numFmtId="0" fontId="5" fillId="8" borderId="15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50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4" fillId="14" borderId="28" xfId="0" applyFont="1" applyFill="1" applyBorder="1" applyAlignment="1">
      <alignment horizontal="center" vertical="center"/>
    </xf>
    <xf numFmtId="0" fontId="5" fillId="14" borderId="29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5" fillId="4" borderId="56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5" borderId="57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48" xfId="0" applyFont="1" applyFill="1" applyBorder="1" applyAlignment="1">
      <alignment horizontal="center" vertical="center" wrapText="1"/>
    </xf>
    <xf numFmtId="0" fontId="4" fillId="4" borderId="4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54" xfId="0" applyFont="1" applyFill="1" applyBorder="1" applyAlignment="1">
      <alignment horizontal="center" vertical="center" wrapText="1"/>
    </xf>
    <xf numFmtId="49" fontId="15" fillId="0" borderId="25" xfId="0" applyNumberFormat="1" applyFont="1" applyBorder="1" applyAlignment="1">
      <alignment horizontal="left" vertical="center" wrapText="1"/>
    </xf>
    <xf numFmtId="49" fontId="0" fillId="0" borderId="25" xfId="0" applyNumberFormat="1" applyBorder="1" applyAlignment="1">
      <alignment horizontal="left" vertical="center"/>
    </xf>
    <xf numFmtId="0" fontId="4" fillId="4" borderId="20" xfId="0" applyFont="1" applyFill="1" applyBorder="1" applyAlignment="1">
      <alignment horizontal="center" vertical="center" wrapText="1"/>
    </xf>
    <xf numFmtId="0" fontId="4" fillId="4" borderId="5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59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horizontal="center" vertical="center"/>
    </xf>
    <xf numFmtId="0" fontId="0" fillId="4" borderId="60" xfId="0" applyFill="1" applyBorder="1" applyAlignment="1">
      <alignment horizontal="left" vertical="center"/>
    </xf>
    <xf numFmtId="0" fontId="0" fillId="4" borderId="38" xfId="0" applyFill="1" applyBorder="1" applyAlignment="1">
      <alignment horizontal="left" vertical="center"/>
    </xf>
    <xf numFmtId="0" fontId="0" fillId="4" borderId="51" xfId="0" applyFill="1" applyBorder="1" applyAlignment="1">
      <alignment horizontal="left" vertical="center"/>
    </xf>
    <xf numFmtId="0" fontId="0" fillId="4" borderId="61" xfId="0" applyFill="1" applyBorder="1" applyAlignment="1">
      <alignment horizontal="left" vertical="center"/>
    </xf>
    <xf numFmtId="0" fontId="0" fillId="4" borderId="43" xfId="0" applyFill="1" applyBorder="1" applyAlignment="1">
      <alignment horizontal="left" vertical="center"/>
    </xf>
    <xf numFmtId="0" fontId="15" fillId="4" borderId="53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</cellXfs>
  <cellStyles count="1">
    <cellStyle name="표준" xfId="0" builtinId="0"/>
  </cellStyles>
  <dxfs count="3"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E4F5-B54E-4704-AE7E-499D435447A5}">
  <dimension ref="A1:AL39"/>
  <sheetViews>
    <sheetView topLeftCell="A10" workbookViewId="0">
      <selection activeCell="F40" sqref="F40"/>
    </sheetView>
  </sheetViews>
  <sheetFormatPr defaultColWidth="9" defaultRowHeight="16.5" x14ac:dyDescent="0.3"/>
  <cols>
    <col min="1" max="1" width="5.125" style="91" customWidth="1"/>
    <col min="2" max="2" width="5.375" style="92" customWidth="1"/>
    <col min="3" max="3" width="9.5" style="93" customWidth="1"/>
    <col min="4" max="4" width="3.125" style="92" customWidth="1"/>
    <col min="5" max="5" width="2.875" style="92" customWidth="1"/>
    <col min="6" max="8" width="3.125" style="92" customWidth="1"/>
    <col min="9" max="9" width="3.5" style="92" customWidth="1"/>
    <col min="10" max="37" width="3.125" style="92" customWidth="1"/>
    <col min="38" max="38" width="3.75" style="92" customWidth="1"/>
  </cols>
  <sheetData>
    <row r="1" spans="1:38" ht="27" thickBot="1" x14ac:dyDescent="0.35">
      <c r="A1" s="160" t="s">
        <v>28</v>
      </c>
      <c r="B1" s="161"/>
      <c r="C1" s="161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3"/>
    </row>
    <row r="2" spans="1:38" x14ac:dyDescent="0.3">
      <c r="A2" s="164"/>
      <c r="B2" s="165"/>
      <c r="C2" s="168" t="s">
        <v>0</v>
      </c>
      <c r="D2" s="1">
        <v>1</v>
      </c>
      <c r="E2" s="2">
        <v>2</v>
      </c>
      <c r="F2" s="2">
        <v>3</v>
      </c>
      <c r="G2" s="2">
        <v>4</v>
      </c>
      <c r="H2" s="3">
        <v>5</v>
      </c>
      <c r="I2" s="3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3">
        <v>12</v>
      </c>
      <c r="P2" s="3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3">
        <v>19</v>
      </c>
      <c r="W2" s="3">
        <v>20</v>
      </c>
      <c r="X2" s="2">
        <v>21</v>
      </c>
      <c r="Y2" s="2">
        <v>22</v>
      </c>
      <c r="Z2" s="2">
        <v>23</v>
      </c>
      <c r="AA2" s="3">
        <v>24</v>
      </c>
      <c r="AB2" s="3">
        <v>25</v>
      </c>
      <c r="AC2" s="3">
        <v>26</v>
      </c>
      <c r="AD2" s="3">
        <v>27</v>
      </c>
      <c r="AE2" s="2">
        <v>28</v>
      </c>
      <c r="AF2" s="2">
        <v>29</v>
      </c>
      <c r="AG2" s="2">
        <v>30</v>
      </c>
      <c r="AH2" s="94"/>
      <c r="AI2" s="7" t="s">
        <v>1</v>
      </c>
      <c r="AJ2" s="2" t="s">
        <v>2</v>
      </c>
      <c r="AK2" s="2" t="s">
        <v>3</v>
      </c>
      <c r="AL2" s="8" t="s">
        <v>4</v>
      </c>
    </row>
    <row r="3" spans="1:38" ht="17.25" thickBot="1" x14ac:dyDescent="0.35">
      <c r="A3" s="166"/>
      <c r="B3" s="167"/>
      <c r="C3" s="169"/>
      <c r="D3" s="9" t="s">
        <v>10</v>
      </c>
      <c r="E3" s="9" t="s">
        <v>11</v>
      </c>
      <c r="F3" s="9" t="s">
        <v>5</v>
      </c>
      <c r="G3" s="9" t="s">
        <v>6</v>
      </c>
      <c r="H3" s="10" t="s">
        <v>7</v>
      </c>
      <c r="I3" s="10" t="s">
        <v>8</v>
      </c>
      <c r="J3" s="9" t="s">
        <v>9</v>
      </c>
      <c r="K3" s="9" t="s">
        <v>10</v>
      </c>
      <c r="L3" s="9" t="s">
        <v>11</v>
      </c>
      <c r="M3" s="9" t="s">
        <v>5</v>
      </c>
      <c r="N3" s="9" t="s">
        <v>6</v>
      </c>
      <c r="O3" s="10" t="s">
        <v>7</v>
      </c>
      <c r="P3" s="10" t="s">
        <v>8</v>
      </c>
      <c r="Q3" s="9" t="s">
        <v>9</v>
      </c>
      <c r="R3" s="9" t="s">
        <v>10</v>
      </c>
      <c r="S3" s="9" t="s">
        <v>11</v>
      </c>
      <c r="T3" s="9" t="s">
        <v>5</v>
      </c>
      <c r="U3" s="9" t="s">
        <v>6</v>
      </c>
      <c r="V3" s="10" t="s">
        <v>7</v>
      </c>
      <c r="W3" s="10" t="s">
        <v>8</v>
      </c>
      <c r="X3" s="9" t="s">
        <v>9</v>
      </c>
      <c r="Y3" s="9" t="s">
        <v>10</v>
      </c>
      <c r="Z3" s="9" t="s">
        <v>11</v>
      </c>
      <c r="AA3" s="10" t="s">
        <v>5</v>
      </c>
      <c r="AB3" s="10" t="s">
        <v>6</v>
      </c>
      <c r="AC3" s="10" t="s">
        <v>7</v>
      </c>
      <c r="AD3" s="10" t="s">
        <v>8</v>
      </c>
      <c r="AE3" s="9" t="s">
        <v>9</v>
      </c>
      <c r="AF3" s="9" t="s">
        <v>10</v>
      </c>
      <c r="AG3" s="9" t="s">
        <v>11</v>
      </c>
      <c r="AH3" s="95"/>
      <c r="AI3" s="13"/>
      <c r="AJ3" s="9"/>
      <c r="AK3" s="9"/>
      <c r="AL3" s="14"/>
    </row>
    <row r="4" spans="1:38" ht="17.25" thickBot="1" x14ac:dyDescent="0.35">
      <c r="A4" s="166"/>
      <c r="B4" s="167"/>
      <c r="C4" s="15"/>
      <c r="D4" s="16"/>
      <c r="E4" s="17"/>
      <c r="F4" s="17"/>
      <c r="G4" s="17"/>
      <c r="H4" s="18"/>
      <c r="I4" s="18"/>
      <c r="J4" s="17"/>
      <c r="K4" s="17"/>
      <c r="L4" s="17"/>
      <c r="M4" s="17"/>
      <c r="N4" s="17"/>
      <c r="O4" s="18"/>
      <c r="P4" s="18"/>
      <c r="Q4" s="17"/>
      <c r="R4" s="17"/>
      <c r="S4" s="17"/>
      <c r="T4" s="17"/>
      <c r="U4" s="17"/>
      <c r="V4" s="18"/>
      <c r="W4" s="18"/>
      <c r="X4" s="17"/>
      <c r="Y4" s="17"/>
      <c r="Z4" s="17"/>
      <c r="AA4" s="18"/>
      <c r="AB4" s="18"/>
      <c r="AC4" s="18"/>
      <c r="AD4" s="18"/>
      <c r="AE4" s="17"/>
      <c r="AF4" s="17"/>
      <c r="AG4" s="17"/>
      <c r="AH4" s="96"/>
      <c r="AI4" s="20">
        <f>COUNTIF(D4:AH4,"D")</f>
        <v>0</v>
      </c>
      <c r="AJ4" s="21">
        <f>COUNTIF(D4:AH4,"E")</f>
        <v>0</v>
      </c>
      <c r="AK4" s="21">
        <f>COUNTIF(D4:AH4,"N")</f>
        <v>0</v>
      </c>
      <c r="AL4" s="22">
        <f>COUNTIF(D4:AH4,"O")</f>
        <v>0</v>
      </c>
    </row>
    <row r="5" spans="1:38" ht="12.6" customHeight="1" x14ac:dyDescent="0.3">
      <c r="A5" s="23" t="s">
        <v>12</v>
      </c>
      <c r="B5" s="97">
        <v>1</v>
      </c>
      <c r="C5" s="24" t="s">
        <v>39</v>
      </c>
      <c r="D5" s="70" t="s">
        <v>4</v>
      </c>
      <c r="E5" s="26" t="s">
        <v>1</v>
      </c>
      <c r="F5" s="26" t="s">
        <v>1</v>
      </c>
      <c r="G5" s="26" t="s">
        <v>1</v>
      </c>
      <c r="H5" s="28" t="s">
        <v>4</v>
      </c>
      <c r="I5" s="27" t="s">
        <v>1</v>
      </c>
      <c r="J5" s="26" t="s">
        <v>2</v>
      </c>
      <c r="K5" s="26" t="s">
        <v>3</v>
      </c>
      <c r="L5" s="26" t="s">
        <v>3</v>
      </c>
      <c r="M5" s="26" t="s">
        <v>3</v>
      </c>
      <c r="N5" s="26" t="s">
        <v>4</v>
      </c>
      <c r="O5" s="28" t="s">
        <v>4</v>
      </c>
      <c r="P5" s="28" t="s">
        <v>4</v>
      </c>
      <c r="Q5" s="26" t="s">
        <v>1</v>
      </c>
      <c r="R5" s="26" t="s">
        <v>2</v>
      </c>
      <c r="S5" s="26" t="s">
        <v>4</v>
      </c>
      <c r="T5" s="26" t="s">
        <v>2</v>
      </c>
      <c r="U5" s="26" t="s">
        <v>3</v>
      </c>
      <c r="V5" s="27" t="s">
        <v>3</v>
      </c>
      <c r="W5" s="27" t="s">
        <v>4</v>
      </c>
      <c r="X5" s="28" t="s">
        <v>4</v>
      </c>
      <c r="Y5" s="26" t="s">
        <v>4</v>
      </c>
      <c r="Z5" s="28" t="s">
        <v>4</v>
      </c>
      <c r="AA5" s="27" t="s">
        <v>24</v>
      </c>
      <c r="AB5" s="27" t="s">
        <v>2</v>
      </c>
      <c r="AC5" s="27" t="s">
        <v>3</v>
      </c>
      <c r="AD5" s="27" t="s">
        <v>3</v>
      </c>
      <c r="AE5" s="26" t="s">
        <v>4</v>
      </c>
      <c r="AF5" s="26" t="s">
        <v>4</v>
      </c>
      <c r="AG5" s="26" t="s">
        <v>1</v>
      </c>
      <c r="AH5" s="94"/>
      <c r="AI5" s="7">
        <f>COUNTIF(D5:AH5,"D")</f>
        <v>7</v>
      </c>
      <c r="AJ5" s="2">
        <f>COUNTIF(D5:AH5,"E")</f>
        <v>4</v>
      </c>
      <c r="AK5" s="2">
        <f>COUNTIF(D5:AH5,"N")</f>
        <v>7</v>
      </c>
      <c r="AL5" s="8">
        <f>COUNTIF(D5:AH5,"O")</f>
        <v>12</v>
      </c>
    </row>
    <row r="6" spans="1:38" ht="12.6" customHeight="1" x14ac:dyDescent="0.3">
      <c r="A6" s="29"/>
      <c r="B6" s="98">
        <v>2</v>
      </c>
      <c r="C6" s="30" t="s">
        <v>34</v>
      </c>
      <c r="D6" s="71" t="s">
        <v>4</v>
      </c>
      <c r="E6" s="32" t="s">
        <v>2</v>
      </c>
      <c r="F6" s="32" t="s">
        <v>2</v>
      </c>
      <c r="G6" s="32" t="s">
        <v>3</v>
      </c>
      <c r="H6" s="33" t="s">
        <v>3</v>
      </c>
      <c r="I6" s="33" t="s">
        <v>4</v>
      </c>
      <c r="J6" s="32" t="s">
        <v>4</v>
      </c>
      <c r="K6" s="32" t="s">
        <v>1</v>
      </c>
      <c r="L6" s="32" t="s">
        <v>1</v>
      </c>
      <c r="M6" s="32" t="s">
        <v>4</v>
      </c>
      <c r="N6" s="32" t="s">
        <v>2</v>
      </c>
      <c r="O6" s="33" t="s">
        <v>2</v>
      </c>
      <c r="P6" s="33" t="s">
        <v>3</v>
      </c>
      <c r="Q6" s="32" t="s">
        <v>3</v>
      </c>
      <c r="R6" s="32" t="s">
        <v>4</v>
      </c>
      <c r="S6" s="32" t="s">
        <v>4</v>
      </c>
      <c r="T6" s="32" t="s">
        <v>1</v>
      </c>
      <c r="U6" s="32" t="s">
        <v>1</v>
      </c>
      <c r="V6" s="33" t="s">
        <v>1</v>
      </c>
      <c r="W6" s="33" t="s">
        <v>4</v>
      </c>
      <c r="X6" s="32" t="s">
        <v>3</v>
      </c>
      <c r="Y6" s="32" t="s">
        <v>3</v>
      </c>
      <c r="Z6" s="32" t="s">
        <v>3</v>
      </c>
      <c r="AA6" s="33" t="s">
        <v>4</v>
      </c>
      <c r="AB6" s="33" t="s">
        <v>4</v>
      </c>
      <c r="AC6" s="34" t="s">
        <v>4</v>
      </c>
      <c r="AD6" s="33" t="s">
        <v>2</v>
      </c>
      <c r="AE6" s="32" t="s">
        <v>2</v>
      </c>
      <c r="AF6" s="32" t="s">
        <v>2</v>
      </c>
      <c r="AG6" s="32" t="s">
        <v>2</v>
      </c>
      <c r="AH6" s="99"/>
      <c r="AI6" s="100">
        <f>COUNTIF(D6:AH6,"D")</f>
        <v>5</v>
      </c>
      <c r="AJ6" s="35">
        <f>COUNTIF(D6:AH6,"E")</f>
        <v>8</v>
      </c>
      <c r="AK6" s="35">
        <f>COUNTIF(D6:AH6,"N")</f>
        <v>7</v>
      </c>
      <c r="AL6" s="36">
        <f>COUNTIF(D6:AH6,"O")</f>
        <v>10</v>
      </c>
    </row>
    <row r="7" spans="1:38" ht="12.6" customHeight="1" x14ac:dyDescent="0.3">
      <c r="A7" s="29"/>
      <c r="B7" s="98">
        <v>3</v>
      </c>
      <c r="C7" s="47" t="s">
        <v>51</v>
      </c>
      <c r="D7" s="71" t="s">
        <v>1</v>
      </c>
      <c r="E7" s="32" t="s">
        <v>1</v>
      </c>
      <c r="F7" s="32" t="s">
        <v>1</v>
      </c>
      <c r="G7" s="32" t="s">
        <v>4</v>
      </c>
      <c r="H7" s="101" t="s">
        <v>25</v>
      </c>
      <c r="I7" s="33" t="s">
        <v>2</v>
      </c>
      <c r="J7" s="34" t="s">
        <v>2</v>
      </c>
      <c r="K7" s="32" t="s">
        <v>4</v>
      </c>
      <c r="L7" s="32" t="s">
        <v>3</v>
      </c>
      <c r="M7" s="32" t="s">
        <v>3</v>
      </c>
      <c r="N7" s="32" t="s">
        <v>4</v>
      </c>
      <c r="O7" s="33" t="s">
        <v>4</v>
      </c>
      <c r="P7" s="33" t="s">
        <v>1</v>
      </c>
      <c r="Q7" s="32" t="s">
        <v>1</v>
      </c>
      <c r="R7" s="32" t="s">
        <v>3</v>
      </c>
      <c r="S7" s="32" t="s">
        <v>3</v>
      </c>
      <c r="T7" s="32" t="s">
        <v>3</v>
      </c>
      <c r="U7" s="32" t="s">
        <v>4</v>
      </c>
      <c r="V7" s="34" t="s">
        <v>4</v>
      </c>
      <c r="W7" s="34" t="s">
        <v>4</v>
      </c>
      <c r="X7" s="32" t="s">
        <v>2</v>
      </c>
      <c r="Y7" s="32" t="s">
        <v>2</v>
      </c>
      <c r="Z7" s="32" t="s">
        <v>2</v>
      </c>
      <c r="AA7" s="33" t="s">
        <v>3</v>
      </c>
      <c r="AB7" s="33" t="s">
        <v>3</v>
      </c>
      <c r="AC7" s="34" t="s">
        <v>4</v>
      </c>
      <c r="AD7" s="33" t="s">
        <v>4</v>
      </c>
      <c r="AE7" s="32" t="s">
        <v>4</v>
      </c>
      <c r="AF7" s="32" t="s">
        <v>4</v>
      </c>
      <c r="AG7" s="32" t="s">
        <v>1</v>
      </c>
      <c r="AH7" s="99"/>
      <c r="AI7" s="100">
        <f>COUNTIF(D7:AH7,"D")</f>
        <v>6</v>
      </c>
      <c r="AJ7" s="35">
        <f>COUNTIF(D7:AH7,"E")</f>
        <v>5</v>
      </c>
      <c r="AK7" s="35">
        <f>COUNTIF(D7:AH7,"N")</f>
        <v>7</v>
      </c>
      <c r="AL7" s="36">
        <f>COUNTIF(D7:AH7,"O")</f>
        <v>12</v>
      </c>
    </row>
    <row r="8" spans="1:38" ht="12.6" customHeight="1" thickBot="1" x14ac:dyDescent="0.35">
      <c r="A8" s="38"/>
      <c r="B8" s="102">
        <v>4</v>
      </c>
      <c r="C8" s="39" t="s">
        <v>50</v>
      </c>
      <c r="D8" s="72" t="s">
        <v>2</v>
      </c>
      <c r="E8" s="43" t="s">
        <v>4</v>
      </c>
      <c r="F8" s="43" t="s">
        <v>4</v>
      </c>
      <c r="G8" s="41" t="s">
        <v>2</v>
      </c>
      <c r="H8" s="103" t="s">
        <v>25</v>
      </c>
      <c r="I8" s="42" t="s">
        <v>3</v>
      </c>
      <c r="J8" s="41" t="s">
        <v>3</v>
      </c>
      <c r="K8" s="41" t="s">
        <v>4</v>
      </c>
      <c r="L8" s="41" t="s">
        <v>4</v>
      </c>
      <c r="M8" s="41" t="s">
        <v>1</v>
      </c>
      <c r="N8" s="43" t="s">
        <v>1</v>
      </c>
      <c r="O8" s="43" t="s">
        <v>2</v>
      </c>
      <c r="P8" s="42" t="s">
        <v>2</v>
      </c>
      <c r="Q8" s="41" t="s">
        <v>2</v>
      </c>
      <c r="R8" s="41" t="s">
        <v>4</v>
      </c>
      <c r="S8" s="41" t="s">
        <v>2</v>
      </c>
      <c r="T8" s="41" t="s">
        <v>3</v>
      </c>
      <c r="U8" s="41" t="s">
        <v>3</v>
      </c>
      <c r="V8" s="42" t="s">
        <v>4</v>
      </c>
      <c r="W8" s="42" t="s">
        <v>4</v>
      </c>
      <c r="X8" s="41" t="s">
        <v>1</v>
      </c>
      <c r="Y8" s="41" t="s">
        <v>1</v>
      </c>
      <c r="Z8" s="41" t="s">
        <v>1</v>
      </c>
      <c r="AA8" s="42" t="s">
        <v>2</v>
      </c>
      <c r="AB8" s="42" t="s">
        <v>4</v>
      </c>
      <c r="AC8" s="42" t="s">
        <v>3</v>
      </c>
      <c r="AD8" s="42" t="s">
        <v>3</v>
      </c>
      <c r="AE8" s="41" t="s">
        <v>4</v>
      </c>
      <c r="AF8" s="41" t="s">
        <v>4</v>
      </c>
      <c r="AG8" s="41" t="s">
        <v>4</v>
      </c>
      <c r="AH8" s="104"/>
      <c r="AI8" s="13">
        <f t="shared" ref="AI8:AI16" si="0">COUNTIF(D8:AH8,"D")</f>
        <v>5</v>
      </c>
      <c r="AJ8" s="9">
        <f t="shared" ref="AJ8:AJ16" si="1">COUNTIF(D8:AH8,"E")</f>
        <v>7</v>
      </c>
      <c r="AK8" s="9">
        <f t="shared" ref="AK8:AK16" si="2">COUNTIF(D8:AH8,"N")</f>
        <v>6</v>
      </c>
      <c r="AL8" s="14">
        <f t="shared" ref="AL8:AL16" si="3">COUNTIF(D8:AH8,"O")</f>
        <v>12</v>
      </c>
    </row>
    <row r="9" spans="1:38" ht="12.6" customHeight="1" x14ac:dyDescent="0.3">
      <c r="A9" s="56" t="s">
        <v>15</v>
      </c>
      <c r="B9" s="105">
        <v>5</v>
      </c>
      <c r="C9" s="106" t="s">
        <v>44</v>
      </c>
      <c r="D9" s="107" t="s">
        <v>2</v>
      </c>
      <c r="E9" s="58" t="s">
        <v>2</v>
      </c>
      <c r="F9" s="60" t="s">
        <v>4</v>
      </c>
      <c r="G9" s="58" t="s">
        <v>4</v>
      </c>
      <c r="H9" s="59" t="s">
        <v>1</v>
      </c>
      <c r="I9" s="59" t="s">
        <v>2</v>
      </c>
      <c r="J9" s="58" t="s">
        <v>26</v>
      </c>
      <c r="K9" s="58" t="s">
        <v>2</v>
      </c>
      <c r="L9" s="58" t="s">
        <v>25</v>
      </c>
      <c r="M9" s="60" t="s">
        <v>4</v>
      </c>
      <c r="N9" s="60" t="s">
        <v>4</v>
      </c>
      <c r="O9" s="60" t="s">
        <v>4</v>
      </c>
      <c r="P9" s="60" t="s">
        <v>4</v>
      </c>
      <c r="Q9" s="60" t="s">
        <v>2</v>
      </c>
      <c r="R9" s="58" t="s">
        <v>2</v>
      </c>
      <c r="S9" s="58" t="s">
        <v>2</v>
      </c>
      <c r="T9" s="60" t="s">
        <v>4</v>
      </c>
      <c r="U9" s="58" t="s">
        <v>2</v>
      </c>
      <c r="V9" s="59" t="s">
        <v>2</v>
      </c>
      <c r="W9" s="108" t="s">
        <v>26</v>
      </c>
      <c r="X9" s="58" t="s">
        <v>2</v>
      </c>
      <c r="Y9" s="58" t="s">
        <v>2</v>
      </c>
      <c r="Z9" s="58" t="s">
        <v>4</v>
      </c>
      <c r="AA9" s="108" t="s">
        <v>25</v>
      </c>
      <c r="AB9" s="59" t="s">
        <v>2</v>
      </c>
      <c r="AC9" s="59" t="s">
        <v>2</v>
      </c>
      <c r="AD9" s="59" t="s">
        <v>4</v>
      </c>
      <c r="AE9" s="108" t="s">
        <v>25</v>
      </c>
      <c r="AF9" s="58" t="s">
        <v>2</v>
      </c>
      <c r="AG9" s="58" t="s">
        <v>2</v>
      </c>
      <c r="AH9" s="109"/>
      <c r="AI9" s="7">
        <f t="shared" si="0"/>
        <v>1</v>
      </c>
      <c r="AJ9" s="2">
        <f t="shared" si="1"/>
        <v>17</v>
      </c>
      <c r="AK9" s="2">
        <f t="shared" si="2"/>
        <v>0</v>
      </c>
      <c r="AL9" s="8">
        <f t="shared" si="3"/>
        <v>12</v>
      </c>
    </row>
    <row r="10" spans="1:38" ht="12.6" customHeight="1" x14ac:dyDescent="0.3">
      <c r="A10" s="29"/>
      <c r="B10" s="98">
        <v>6</v>
      </c>
      <c r="C10" s="30" t="s">
        <v>31</v>
      </c>
      <c r="D10" s="71" t="s">
        <v>1</v>
      </c>
      <c r="E10" s="32" t="s">
        <v>4</v>
      </c>
      <c r="F10" s="32" t="s">
        <v>3</v>
      </c>
      <c r="G10" s="32" t="s">
        <v>3</v>
      </c>
      <c r="H10" s="33" t="s">
        <v>3</v>
      </c>
      <c r="I10" s="33" t="s">
        <v>4</v>
      </c>
      <c r="J10" s="32" t="s">
        <v>4</v>
      </c>
      <c r="K10" s="32" t="s">
        <v>4</v>
      </c>
      <c r="L10" s="54" t="s">
        <v>19</v>
      </c>
      <c r="M10" s="32" t="s">
        <v>2</v>
      </c>
      <c r="N10" s="32" t="s">
        <v>2</v>
      </c>
      <c r="O10" s="33" t="s">
        <v>3</v>
      </c>
      <c r="P10" s="33" t="s">
        <v>3</v>
      </c>
      <c r="Q10" s="34" t="s">
        <v>4</v>
      </c>
      <c r="R10" s="34" t="s">
        <v>4</v>
      </c>
      <c r="S10" s="60" t="s">
        <v>4</v>
      </c>
      <c r="T10" s="60" t="s">
        <v>4</v>
      </c>
      <c r="U10" s="60" t="s">
        <v>4</v>
      </c>
      <c r="V10" s="33" t="s">
        <v>3</v>
      </c>
      <c r="W10" s="33" t="s">
        <v>3</v>
      </c>
      <c r="X10" s="32" t="s">
        <v>4</v>
      </c>
      <c r="Y10" s="32" t="s">
        <v>4</v>
      </c>
      <c r="Z10" s="32" t="s">
        <v>1</v>
      </c>
      <c r="AA10" s="33" t="s">
        <v>1</v>
      </c>
      <c r="AB10" s="33" t="s">
        <v>1</v>
      </c>
      <c r="AC10" s="33" t="s">
        <v>1</v>
      </c>
      <c r="AD10" s="33" t="s">
        <v>4</v>
      </c>
      <c r="AE10" s="32" t="s">
        <v>1</v>
      </c>
      <c r="AF10" s="32" t="s">
        <v>1</v>
      </c>
      <c r="AG10" s="32" t="s">
        <v>1</v>
      </c>
      <c r="AH10" s="99"/>
      <c r="AI10" s="100">
        <f t="shared" si="0"/>
        <v>8</v>
      </c>
      <c r="AJ10" s="35">
        <f t="shared" si="1"/>
        <v>2</v>
      </c>
      <c r="AK10" s="35">
        <f t="shared" si="2"/>
        <v>7</v>
      </c>
      <c r="AL10" s="36">
        <f t="shared" si="3"/>
        <v>12</v>
      </c>
    </row>
    <row r="11" spans="1:38" ht="12.6" customHeight="1" thickBot="1" x14ac:dyDescent="0.35">
      <c r="A11" s="46"/>
      <c r="B11" s="110">
        <v>7</v>
      </c>
      <c r="C11" s="47" t="s">
        <v>38</v>
      </c>
      <c r="D11" s="111" t="s">
        <v>18</v>
      </c>
      <c r="E11" s="49" t="s">
        <v>4</v>
      </c>
      <c r="F11" s="49" t="s">
        <v>19</v>
      </c>
      <c r="G11" s="49" t="s">
        <v>20</v>
      </c>
      <c r="H11" s="50" t="s">
        <v>20</v>
      </c>
      <c r="I11" s="50" t="s">
        <v>4</v>
      </c>
      <c r="J11" s="49" t="s">
        <v>4</v>
      </c>
      <c r="K11" s="49" t="s">
        <v>4</v>
      </c>
      <c r="L11" s="112" t="s">
        <v>19</v>
      </c>
      <c r="M11" s="49" t="s">
        <v>19</v>
      </c>
      <c r="N11" s="49" t="s">
        <v>19</v>
      </c>
      <c r="O11" s="50" t="s">
        <v>20</v>
      </c>
      <c r="P11" s="50" t="s">
        <v>20</v>
      </c>
      <c r="Q11" s="49" t="s">
        <v>4</v>
      </c>
      <c r="R11" s="49" t="s">
        <v>4</v>
      </c>
      <c r="S11" s="49" t="s">
        <v>4</v>
      </c>
      <c r="T11" s="49" t="s">
        <v>4</v>
      </c>
      <c r="U11" s="49" t="s">
        <v>4</v>
      </c>
      <c r="V11" s="51" t="s">
        <v>18</v>
      </c>
      <c r="W11" s="51" t="s">
        <v>18</v>
      </c>
      <c r="X11" s="113" t="s">
        <v>3</v>
      </c>
      <c r="Y11" s="113" t="s">
        <v>3</v>
      </c>
      <c r="Z11" s="113" t="s">
        <v>3</v>
      </c>
      <c r="AA11" s="50" t="s">
        <v>4</v>
      </c>
      <c r="AB11" s="50" t="s">
        <v>4</v>
      </c>
      <c r="AC11" s="50" t="s">
        <v>1</v>
      </c>
      <c r="AD11" s="50" t="s">
        <v>2</v>
      </c>
      <c r="AE11" s="49" t="s">
        <v>4</v>
      </c>
      <c r="AF11" s="49" t="s">
        <v>2</v>
      </c>
      <c r="AG11" s="49" t="s">
        <v>2</v>
      </c>
      <c r="AH11" s="114"/>
      <c r="AI11" s="13">
        <f>COUNTIF(D11:AH11,"D")</f>
        <v>1</v>
      </c>
      <c r="AJ11" s="9">
        <f>COUNTIF(D11:AH11,"E")</f>
        <v>3</v>
      </c>
      <c r="AK11" s="9">
        <f>COUNTIF(D11:AH11,"N")</f>
        <v>3</v>
      </c>
      <c r="AL11" s="14">
        <f>COUNTIF(D11:AH11,"O")</f>
        <v>12</v>
      </c>
    </row>
    <row r="12" spans="1:38" ht="12.6" customHeight="1" x14ac:dyDescent="0.3">
      <c r="A12" s="29"/>
      <c r="B12" s="98">
        <v>8</v>
      </c>
      <c r="C12" s="30" t="s">
        <v>40</v>
      </c>
      <c r="D12" s="71" t="s">
        <v>2</v>
      </c>
      <c r="E12" s="32" t="s">
        <v>2</v>
      </c>
      <c r="F12" s="101" t="s">
        <v>25</v>
      </c>
      <c r="G12" s="32" t="s">
        <v>3</v>
      </c>
      <c r="H12" s="33" t="s">
        <v>4</v>
      </c>
      <c r="I12" s="33" t="s">
        <v>4</v>
      </c>
      <c r="J12" s="32" t="s">
        <v>2</v>
      </c>
      <c r="K12" s="32" t="s">
        <v>2</v>
      </c>
      <c r="L12" s="32" t="s">
        <v>2</v>
      </c>
      <c r="M12" s="32" t="s">
        <v>3</v>
      </c>
      <c r="N12" s="32" t="s">
        <v>3</v>
      </c>
      <c r="O12" s="33" t="s">
        <v>4</v>
      </c>
      <c r="P12" s="33" t="s">
        <v>4</v>
      </c>
      <c r="Q12" s="32" t="s">
        <v>1</v>
      </c>
      <c r="R12" s="32" t="s">
        <v>1</v>
      </c>
      <c r="S12" s="34" t="s">
        <v>1</v>
      </c>
      <c r="T12" s="32" t="s">
        <v>1</v>
      </c>
      <c r="U12" s="34" t="s">
        <v>1</v>
      </c>
      <c r="V12" s="34" t="s">
        <v>4</v>
      </c>
      <c r="W12" s="34" t="s">
        <v>4</v>
      </c>
      <c r="X12" s="101" t="s">
        <v>4</v>
      </c>
      <c r="Y12" s="32" t="s">
        <v>2</v>
      </c>
      <c r="Z12" s="32" t="s">
        <v>3</v>
      </c>
      <c r="AA12" s="33" t="s">
        <v>3</v>
      </c>
      <c r="AB12" s="33" t="s">
        <v>3</v>
      </c>
      <c r="AC12" s="33" t="s">
        <v>4</v>
      </c>
      <c r="AD12" s="33" t="s">
        <v>4</v>
      </c>
      <c r="AE12" s="32" t="s">
        <v>1</v>
      </c>
      <c r="AF12" s="32" t="s">
        <v>1</v>
      </c>
      <c r="AG12" s="115" t="s">
        <v>3</v>
      </c>
      <c r="AH12" s="99"/>
      <c r="AI12" s="100">
        <f>COUNTIF(D12:AH12,"D")</f>
        <v>7</v>
      </c>
      <c r="AJ12" s="35">
        <f>COUNTIF(D12:AH12,"E")</f>
        <v>6</v>
      </c>
      <c r="AK12" s="35">
        <f>COUNTIF(D12:AH12,"N")</f>
        <v>7</v>
      </c>
      <c r="AL12" s="36">
        <f>COUNTIF(D12:AH12,"O")</f>
        <v>10</v>
      </c>
    </row>
    <row r="13" spans="1:38" ht="12.6" customHeight="1" x14ac:dyDescent="0.3">
      <c r="A13" s="29"/>
      <c r="B13" s="98">
        <v>9</v>
      </c>
      <c r="C13" s="30" t="s">
        <v>43</v>
      </c>
      <c r="D13" s="71" t="s">
        <v>2</v>
      </c>
      <c r="E13" s="32" t="s">
        <v>2</v>
      </c>
      <c r="F13" s="34" t="s">
        <v>4</v>
      </c>
      <c r="G13" s="32" t="s">
        <v>2</v>
      </c>
      <c r="H13" s="34" t="s">
        <v>2</v>
      </c>
      <c r="I13" s="33" t="s">
        <v>3</v>
      </c>
      <c r="J13" s="32" t="s">
        <v>3</v>
      </c>
      <c r="K13" s="32" t="s">
        <v>3</v>
      </c>
      <c r="L13" s="32" t="s">
        <v>4</v>
      </c>
      <c r="M13" s="34" t="s">
        <v>4</v>
      </c>
      <c r="N13" s="34" t="s">
        <v>1</v>
      </c>
      <c r="O13" s="34" t="s">
        <v>4</v>
      </c>
      <c r="P13" s="33" t="s">
        <v>1</v>
      </c>
      <c r="Q13" s="32" t="s">
        <v>3</v>
      </c>
      <c r="R13" s="32" t="s">
        <v>3</v>
      </c>
      <c r="S13" s="32" t="s">
        <v>4</v>
      </c>
      <c r="T13" s="34" t="s">
        <v>4</v>
      </c>
      <c r="U13" s="32" t="s">
        <v>1</v>
      </c>
      <c r="V13" s="33" t="s">
        <v>1</v>
      </c>
      <c r="W13" s="33" t="s">
        <v>1</v>
      </c>
      <c r="X13" s="32" t="s">
        <v>1</v>
      </c>
      <c r="Y13" s="32" t="s">
        <v>1</v>
      </c>
      <c r="Z13" s="32" t="s">
        <v>4</v>
      </c>
      <c r="AA13" s="101" t="s">
        <v>26</v>
      </c>
      <c r="AB13" s="33" t="s">
        <v>4</v>
      </c>
      <c r="AC13" s="33" t="s">
        <v>2</v>
      </c>
      <c r="AD13" s="33" t="s">
        <v>3</v>
      </c>
      <c r="AE13" s="32" t="s">
        <v>3</v>
      </c>
      <c r="AF13" s="32" t="s">
        <v>4</v>
      </c>
      <c r="AG13" s="32" t="s">
        <v>4</v>
      </c>
      <c r="AH13" s="99"/>
      <c r="AI13" s="100">
        <f t="shared" si="0"/>
        <v>7</v>
      </c>
      <c r="AJ13" s="35">
        <f t="shared" si="1"/>
        <v>6</v>
      </c>
      <c r="AK13" s="35">
        <f t="shared" si="2"/>
        <v>7</v>
      </c>
      <c r="AL13" s="36">
        <f t="shared" si="3"/>
        <v>10</v>
      </c>
    </row>
    <row r="14" spans="1:38" ht="12.6" customHeight="1" thickBot="1" x14ac:dyDescent="0.35">
      <c r="A14" s="29"/>
      <c r="B14" s="98">
        <v>10</v>
      </c>
      <c r="C14" s="30" t="s">
        <v>36</v>
      </c>
      <c r="D14" s="71" t="s">
        <v>4</v>
      </c>
      <c r="E14" s="32" t="s">
        <v>4</v>
      </c>
      <c r="F14" s="32" t="s">
        <v>2</v>
      </c>
      <c r="G14" s="101" t="s">
        <v>25</v>
      </c>
      <c r="H14" s="33" t="s">
        <v>2</v>
      </c>
      <c r="I14" s="33" t="s">
        <v>2</v>
      </c>
      <c r="J14" s="34" t="s">
        <v>4</v>
      </c>
      <c r="K14" s="32" t="s">
        <v>3</v>
      </c>
      <c r="L14" s="32" t="s">
        <v>3</v>
      </c>
      <c r="M14" s="32" t="s">
        <v>4</v>
      </c>
      <c r="N14" s="32" t="s">
        <v>4</v>
      </c>
      <c r="O14" s="33" t="s">
        <v>1</v>
      </c>
      <c r="P14" s="33" t="s">
        <v>1</v>
      </c>
      <c r="Q14" s="32" t="s">
        <v>1</v>
      </c>
      <c r="R14" s="32" t="s">
        <v>2</v>
      </c>
      <c r="S14" s="32" t="s">
        <v>4</v>
      </c>
      <c r="T14" s="32" t="s">
        <v>4</v>
      </c>
      <c r="U14" s="32" t="s">
        <v>3</v>
      </c>
      <c r="V14" s="33" t="s">
        <v>3</v>
      </c>
      <c r="W14" s="33" t="s">
        <v>3</v>
      </c>
      <c r="X14" s="32" t="s">
        <v>4</v>
      </c>
      <c r="Y14" s="32" t="s">
        <v>4</v>
      </c>
      <c r="Z14" s="32" t="s">
        <v>1</v>
      </c>
      <c r="AA14" s="33" t="s">
        <v>26</v>
      </c>
      <c r="AB14" s="33" t="s">
        <v>4</v>
      </c>
      <c r="AC14" s="33" t="s">
        <v>4</v>
      </c>
      <c r="AD14" s="33" t="s">
        <v>1</v>
      </c>
      <c r="AE14" s="32" t="s">
        <v>2</v>
      </c>
      <c r="AF14" s="32" t="s">
        <v>3</v>
      </c>
      <c r="AG14" s="32" t="s">
        <v>3</v>
      </c>
      <c r="AH14" s="99"/>
      <c r="AI14" s="100">
        <f t="shared" si="0"/>
        <v>5</v>
      </c>
      <c r="AJ14" s="35">
        <f t="shared" si="1"/>
        <v>6</v>
      </c>
      <c r="AK14" s="35">
        <f t="shared" si="2"/>
        <v>7</v>
      </c>
      <c r="AL14" s="36">
        <f t="shared" si="3"/>
        <v>12</v>
      </c>
    </row>
    <row r="15" spans="1:38" ht="12.6" customHeight="1" x14ac:dyDescent="0.3">
      <c r="A15" s="23" t="s">
        <v>13</v>
      </c>
      <c r="B15" s="138">
        <v>11</v>
      </c>
      <c r="C15" s="140" t="s">
        <v>30</v>
      </c>
      <c r="D15" s="70" t="s">
        <v>3</v>
      </c>
      <c r="E15" s="26" t="s">
        <v>3</v>
      </c>
      <c r="F15" s="26" t="s">
        <v>4</v>
      </c>
      <c r="G15" s="26" t="s">
        <v>4</v>
      </c>
      <c r="H15" s="27" t="s">
        <v>1</v>
      </c>
      <c r="I15" s="27" t="s">
        <v>2</v>
      </c>
      <c r="J15" s="26" t="s">
        <v>4</v>
      </c>
      <c r="K15" s="26" t="s">
        <v>2</v>
      </c>
      <c r="L15" s="26" t="s">
        <v>3</v>
      </c>
      <c r="M15" s="17" t="s">
        <v>3</v>
      </c>
      <c r="N15" s="17" t="s">
        <v>4</v>
      </c>
      <c r="O15" s="116" t="s">
        <v>4</v>
      </c>
      <c r="P15" s="116" t="s">
        <v>2</v>
      </c>
      <c r="Q15" s="17" t="s">
        <v>2</v>
      </c>
      <c r="R15" s="17" t="s">
        <v>4</v>
      </c>
      <c r="S15" s="17" t="s">
        <v>2</v>
      </c>
      <c r="T15" s="26" t="s">
        <v>2</v>
      </c>
      <c r="U15" s="26" t="s">
        <v>2</v>
      </c>
      <c r="V15" s="28" t="s">
        <v>4</v>
      </c>
      <c r="W15" s="27" t="s">
        <v>3</v>
      </c>
      <c r="X15" s="117" t="s">
        <v>3</v>
      </c>
      <c r="Y15" s="26" t="s">
        <v>3</v>
      </c>
      <c r="Z15" s="26" t="s">
        <v>4</v>
      </c>
      <c r="AA15" s="28" t="s">
        <v>4</v>
      </c>
      <c r="AB15" s="27" t="s">
        <v>1</v>
      </c>
      <c r="AC15" s="27" t="s">
        <v>1</v>
      </c>
      <c r="AD15" s="27" t="s">
        <v>1</v>
      </c>
      <c r="AE15" s="26" t="s">
        <v>4</v>
      </c>
      <c r="AF15" s="118" t="s">
        <v>18</v>
      </c>
      <c r="AG15" s="118" t="s">
        <v>18</v>
      </c>
      <c r="AH15" s="94"/>
      <c r="AI15" s="7">
        <f t="shared" si="0"/>
        <v>4</v>
      </c>
      <c r="AJ15" s="2">
        <f t="shared" si="1"/>
        <v>7</v>
      </c>
      <c r="AK15" s="2">
        <f t="shared" si="2"/>
        <v>7</v>
      </c>
      <c r="AL15" s="8">
        <f t="shared" si="3"/>
        <v>10</v>
      </c>
    </row>
    <row r="16" spans="1:38" ht="12.6" customHeight="1" x14ac:dyDescent="0.3">
      <c r="A16" s="29"/>
      <c r="B16" s="139">
        <v>12</v>
      </c>
      <c r="C16" s="141" t="s">
        <v>42</v>
      </c>
      <c r="D16" s="71"/>
      <c r="E16" s="31"/>
      <c r="F16" s="32"/>
      <c r="G16" s="32"/>
      <c r="H16" s="33" t="s">
        <v>4</v>
      </c>
      <c r="I16" s="33" t="s">
        <v>4</v>
      </c>
      <c r="J16" s="32"/>
      <c r="K16" s="32"/>
      <c r="L16" s="32"/>
      <c r="M16" s="32"/>
      <c r="N16" s="32"/>
      <c r="O16" s="33" t="s">
        <v>4</v>
      </c>
      <c r="P16" s="33" t="s">
        <v>4</v>
      </c>
      <c r="Q16" s="32"/>
      <c r="R16" s="32"/>
      <c r="S16" s="32"/>
      <c r="T16" s="32"/>
      <c r="U16" s="32"/>
      <c r="V16" s="33" t="s">
        <v>4</v>
      </c>
      <c r="W16" s="33" t="s">
        <v>4</v>
      </c>
      <c r="X16" s="121" t="s">
        <v>20</v>
      </c>
      <c r="Y16" s="32" t="s">
        <v>20</v>
      </c>
      <c r="Z16" s="32" t="s">
        <v>4</v>
      </c>
      <c r="AA16" s="33" t="s">
        <v>4</v>
      </c>
      <c r="AB16" s="33" t="s">
        <v>4</v>
      </c>
      <c r="AC16" s="33" t="s">
        <v>18</v>
      </c>
      <c r="AD16" s="33" t="s">
        <v>18</v>
      </c>
      <c r="AE16" s="32" t="s">
        <v>4</v>
      </c>
      <c r="AF16" s="115" t="s">
        <v>18</v>
      </c>
      <c r="AG16" s="115" t="s">
        <v>18</v>
      </c>
      <c r="AH16" s="99"/>
      <c r="AI16" s="100">
        <f t="shared" si="0"/>
        <v>0</v>
      </c>
      <c r="AJ16" s="35">
        <f t="shared" si="1"/>
        <v>0</v>
      </c>
      <c r="AK16" s="35">
        <f t="shared" si="2"/>
        <v>0</v>
      </c>
      <c r="AL16" s="36">
        <f t="shared" si="3"/>
        <v>10</v>
      </c>
    </row>
    <row r="17" spans="1:38" ht="12.6" customHeight="1" x14ac:dyDescent="0.3">
      <c r="A17" s="29"/>
      <c r="B17" s="139">
        <v>13</v>
      </c>
      <c r="C17" s="30" t="s">
        <v>32</v>
      </c>
      <c r="D17" s="71" t="s">
        <v>3</v>
      </c>
      <c r="E17" s="32" t="s">
        <v>3</v>
      </c>
      <c r="F17" s="32" t="s">
        <v>3</v>
      </c>
      <c r="G17" s="32" t="s">
        <v>4</v>
      </c>
      <c r="H17" s="34" t="s">
        <v>4</v>
      </c>
      <c r="I17" s="33" t="s">
        <v>1</v>
      </c>
      <c r="J17" s="32" t="s">
        <v>1</v>
      </c>
      <c r="K17" s="32" t="s">
        <v>4</v>
      </c>
      <c r="L17" s="32" t="s">
        <v>1</v>
      </c>
      <c r="M17" s="32" t="s">
        <v>1</v>
      </c>
      <c r="N17" s="34" t="s">
        <v>1</v>
      </c>
      <c r="O17" s="34" t="s">
        <v>4</v>
      </c>
      <c r="P17" s="33" t="s">
        <v>3</v>
      </c>
      <c r="Q17" s="32" t="s">
        <v>3</v>
      </c>
      <c r="R17" s="32" t="s">
        <v>4</v>
      </c>
      <c r="S17" s="32" t="s">
        <v>4</v>
      </c>
      <c r="T17" s="32" t="s">
        <v>2</v>
      </c>
      <c r="U17" s="32" t="s">
        <v>2</v>
      </c>
      <c r="V17" s="33" t="s">
        <v>2</v>
      </c>
      <c r="W17" s="33" t="s">
        <v>4</v>
      </c>
      <c r="X17" s="32" t="s">
        <v>3</v>
      </c>
      <c r="Y17" s="32" t="s">
        <v>3</v>
      </c>
      <c r="Z17" s="32" t="s">
        <v>4</v>
      </c>
      <c r="AA17" s="33" t="s">
        <v>4</v>
      </c>
      <c r="AB17" s="33" t="s">
        <v>1</v>
      </c>
      <c r="AC17" s="33" t="s">
        <v>2</v>
      </c>
      <c r="AD17" s="33" t="s">
        <v>4</v>
      </c>
      <c r="AE17" s="32" t="s">
        <v>4</v>
      </c>
      <c r="AF17" s="32" t="s">
        <v>2</v>
      </c>
      <c r="AG17" s="32" t="s">
        <v>2</v>
      </c>
      <c r="AH17" s="99"/>
      <c r="AI17" s="100">
        <f>COUNTIF(D17:AH17,"D")</f>
        <v>6</v>
      </c>
      <c r="AJ17" s="35">
        <f>COUNTIF(D17:AH17,"E")</f>
        <v>6</v>
      </c>
      <c r="AK17" s="35">
        <f>COUNTIF(D17:AH17,"N")</f>
        <v>7</v>
      </c>
      <c r="AL17" s="36">
        <f>COUNTIF(D17:AH17,"O")</f>
        <v>11</v>
      </c>
    </row>
    <row r="18" spans="1:38" ht="12.6" customHeight="1" x14ac:dyDescent="0.3">
      <c r="A18" s="29"/>
      <c r="B18" s="139">
        <v>14</v>
      </c>
      <c r="C18" s="30" t="s">
        <v>43</v>
      </c>
      <c r="D18" s="71" t="s">
        <v>1</v>
      </c>
      <c r="E18" s="32" t="s">
        <v>1</v>
      </c>
      <c r="F18" s="32" t="s">
        <v>22</v>
      </c>
      <c r="G18" s="32" t="s">
        <v>1</v>
      </c>
      <c r="H18" s="33" t="s">
        <v>1</v>
      </c>
      <c r="I18" s="34" t="s">
        <v>4</v>
      </c>
      <c r="J18" s="32" t="s">
        <v>1</v>
      </c>
      <c r="K18" s="32" t="s">
        <v>1</v>
      </c>
      <c r="L18" s="32" t="s">
        <v>22</v>
      </c>
      <c r="M18" s="32" t="s">
        <v>1</v>
      </c>
      <c r="N18" s="32" t="s">
        <v>1</v>
      </c>
      <c r="O18" s="33" t="s">
        <v>1</v>
      </c>
      <c r="P18" s="34" t="s">
        <v>4</v>
      </c>
      <c r="Q18" s="32" t="s">
        <v>4</v>
      </c>
      <c r="R18" s="32" t="s">
        <v>1</v>
      </c>
      <c r="S18" s="32" t="s">
        <v>22</v>
      </c>
      <c r="T18" s="32" t="s">
        <v>4</v>
      </c>
      <c r="U18" s="32" t="s">
        <v>4</v>
      </c>
      <c r="V18" s="33" t="s">
        <v>4</v>
      </c>
      <c r="W18" s="33" t="s">
        <v>1</v>
      </c>
      <c r="X18" s="32" t="s">
        <v>1</v>
      </c>
      <c r="Y18" s="32" t="s">
        <v>4</v>
      </c>
      <c r="Z18" s="32" t="s">
        <v>4</v>
      </c>
      <c r="AA18" s="34" t="s">
        <v>4</v>
      </c>
      <c r="AB18" s="34" t="s">
        <v>4</v>
      </c>
      <c r="AC18" s="33" t="s">
        <v>1</v>
      </c>
      <c r="AD18" s="33" t="s">
        <v>1</v>
      </c>
      <c r="AE18" s="32" t="s">
        <v>22</v>
      </c>
      <c r="AF18" s="32" t="s">
        <v>1</v>
      </c>
      <c r="AG18" s="32" t="s">
        <v>4</v>
      </c>
      <c r="AH18" s="99"/>
      <c r="AI18" s="100">
        <f>COUNTIF(D18:AH18,"D")</f>
        <v>15</v>
      </c>
      <c r="AJ18" s="35">
        <f>COUNTIF(D18:AH18,"E")</f>
        <v>0</v>
      </c>
      <c r="AK18" s="35">
        <f>COUNTIF(D18:AH18,"N")</f>
        <v>0</v>
      </c>
      <c r="AL18" s="36">
        <f>COUNTIF(D18:AH18,"O")</f>
        <v>11</v>
      </c>
    </row>
    <row r="19" spans="1:38" ht="12.6" customHeight="1" x14ac:dyDescent="0.3">
      <c r="A19" s="29"/>
      <c r="B19" s="139">
        <v>15</v>
      </c>
      <c r="C19" s="30" t="s">
        <v>38</v>
      </c>
      <c r="D19" s="71" t="s">
        <v>4</v>
      </c>
      <c r="E19" s="32" t="s">
        <v>4</v>
      </c>
      <c r="F19" s="32" t="s">
        <v>1</v>
      </c>
      <c r="G19" s="32" t="s">
        <v>1</v>
      </c>
      <c r="H19" s="33" t="s">
        <v>2</v>
      </c>
      <c r="I19" s="33" t="s">
        <v>4</v>
      </c>
      <c r="J19" s="122" t="s">
        <v>3</v>
      </c>
      <c r="K19" s="122" t="s">
        <v>3</v>
      </c>
      <c r="L19" s="32" t="s">
        <v>4</v>
      </c>
      <c r="M19" s="32" t="s">
        <v>4</v>
      </c>
      <c r="N19" s="32" t="s">
        <v>2</v>
      </c>
      <c r="O19" s="33" t="s">
        <v>2</v>
      </c>
      <c r="P19" s="33" t="s">
        <v>2</v>
      </c>
      <c r="Q19" s="32" t="s">
        <v>4</v>
      </c>
      <c r="R19" s="32" t="s">
        <v>2</v>
      </c>
      <c r="S19" s="122" t="s">
        <v>3</v>
      </c>
      <c r="T19" s="122" t="s">
        <v>3</v>
      </c>
      <c r="U19" s="32" t="s">
        <v>4</v>
      </c>
      <c r="V19" s="33" t="s">
        <v>4</v>
      </c>
      <c r="W19" s="33" t="s">
        <v>1</v>
      </c>
      <c r="X19" s="32" t="s">
        <v>1</v>
      </c>
      <c r="Y19" s="32" t="s">
        <v>1</v>
      </c>
      <c r="Z19" s="32" t="s">
        <v>2</v>
      </c>
      <c r="AA19" s="33" t="s">
        <v>4</v>
      </c>
      <c r="AB19" s="33" t="s">
        <v>2</v>
      </c>
      <c r="AC19" s="33" t="s">
        <v>3</v>
      </c>
      <c r="AD19" s="33" t="s">
        <v>3</v>
      </c>
      <c r="AE19" s="32" t="s">
        <v>3</v>
      </c>
      <c r="AF19" s="32" t="s">
        <v>4</v>
      </c>
      <c r="AG19" s="32" t="s">
        <v>4</v>
      </c>
      <c r="AH19" s="99"/>
      <c r="AI19" s="100">
        <f>COUNTIF(D19:AH19,"D")</f>
        <v>5</v>
      </c>
      <c r="AJ19" s="35">
        <f>COUNTIF(D19:AH19,"E")</f>
        <v>7</v>
      </c>
      <c r="AK19" s="35">
        <f>COUNTIF(D19:AH19,"N")</f>
        <v>7</v>
      </c>
      <c r="AL19" s="36">
        <f>COUNTIF(D19:AH19,"O")</f>
        <v>11</v>
      </c>
    </row>
    <row r="20" spans="1:38" ht="12.6" customHeight="1" thickBot="1" x14ac:dyDescent="0.35">
      <c r="A20" s="38" t="s">
        <v>54</v>
      </c>
      <c r="B20" s="142">
        <v>16</v>
      </c>
      <c r="C20" s="39" t="s">
        <v>34</v>
      </c>
      <c r="D20" s="72" t="s">
        <v>4</v>
      </c>
      <c r="E20" s="41" t="s">
        <v>4</v>
      </c>
      <c r="F20" s="43" t="s">
        <v>4</v>
      </c>
      <c r="G20" s="43" t="s">
        <v>4</v>
      </c>
      <c r="H20" s="123" t="s">
        <v>18</v>
      </c>
      <c r="I20" s="42" t="s">
        <v>1</v>
      </c>
      <c r="J20" s="123" t="s">
        <v>18</v>
      </c>
      <c r="K20" s="123" t="s">
        <v>19</v>
      </c>
      <c r="L20" s="123" t="s">
        <v>19</v>
      </c>
      <c r="M20" s="43" t="s">
        <v>4</v>
      </c>
      <c r="N20" s="41" t="s">
        <v>3</v>
      </c>
      <c r="O20" s="42" t="s">
        <v>3</v>
      </c>
      <c r="P20" s="42" t="s">
        <v>4</v>
      </c>
      <c r="Q20" s="43" t="s">
        <v>4</v>
      </c>
      <c r="R20" s="123" t="s">
        <v>19</v>
      </c>
      <c r="S20" s="41" t="s">
        <v>2</v>
      </c>
      <c r="T20" s="43" t="s">
        <v>4</v>
      </c>
      <c r="U20" s="41" t="s">
        <v>3</v>
      </c>
      <c r="V20" s="42" t="s">
        <v>3</v>
      </c>
      <c r="W20" s="42" t="s">
        <v>3</v>
      </c>
      <c r="X20" s="41" t="s">
        <v>4</v>
      </c>
      <c r="Y20" s="41" t="s">
        <v>4</v>
      </c>
      <c r="Z20" s="41" t="s">
        <v>1</v>
      </c>
      <c r="AA20" s="42" t="s">
        <v>1</v>
      </c>
      <c r="AB20" s="42" t="s">
        <v>2</v>
      </c>
      <c r="AC20" s="42" t="s">
        <v>2</v>
      </c>
      <c r="AD20" s="43" t="s">
        <v>4</v>
      </c>
      <c r="AE20" s="43" t="s">
        <v>4</v>
      </c>
      <c r="AF20" s="41" t="s">
        <v>3</v>
      </c>
      <c r="AG20" s="41" t="s">
        <v>3</v>
      </c>
      <c r="AH20" s="104"/>
      <c r="AI20" s="124">
        <f t="shared" ref="AI20:AI27" si="4">COUNTIF(D20:AH20,"D")</f>
        <v>3</v>
      </c>
      <c r="AJ20" s="52">
        <f t="shared" ref="AJ20:AJ27" si="5">COUNTIF(D20:AH20,"E")</f>
        <v>3</v>
      </c>
      <c r="AK20" s="52">
        <f t="shared" ref="AK20:AK27" si="6">COUNTIF(D20:AH20,"N")</f>
        <v>7</v>
      </c>
      <c r="AL20" s="53">
        <f t="shared" ref="AL20:AL32" si="7">COUNTIF(D20:AH20,"O")</f>
        <v>12</v>
      </c>
    </row>
    <row r="21" spans="1:38" ht="12.6" customHeight="1" x14ac:dyDescent="0.3">
      <c r="A21" s="56" t="s">
        <v>1</v>
      </c>
      <c r="B21" s="105">
        <v>17</v>
      </c>
      <c r="C21" s="106" t="s">
        <v>30</v>
      </c>
      <c r="D21" s="107" t="s">
        <v>4</v>
      </c>
      <c r="E21" s="58" t="s">
        <v>4</v>
      </c>
      <c r="F21" s="58" t="s">
        <v>2</v>
      </c>
      <c r="G21" s="58" t="s">
        <v>2</v>
      </c>
      <c r="H21" s="59" t="s">
        <v>2</v>
      </c>
      <c r="I21" s="59" t="s">
        <v>3</v>
      </c>
      <c r="J21" s="58" t="s">
        <v>3</v>
      </c>
      <c r="K21" s="58" t="s">
        <v>4</v>
      </c>
      <c r="L21" s="60" t="s">
        <v>4</v>
      </c>
      <c r="M21" s="58" t="s">
        <v>2</v>
      </c>
      <c r="N21" s="58" t="s">
        <v>2</v>
      </c>
      <c r="O21" s="59" t="s">
        <v>2</v>
      </c>
      <c r="P21" s="59" t="s">
        <v>2</v>
      </c>
      <c r="Q21" s="58" t="s">
        <v>4</v>
      </c>
      <c r="R21" s="58" t="s">
        <v>4</v>
      </c>
      <c r="S21" s="58" t="s">
        <v>3</v>
      </c>
      <c r="T21" s="58" t="s">
        <v>3</v>
      </c>
      <c r="U21" s="58" t="s">
        <v>4</v>
      </c>
      <c r="V21" s="60" t="s">
        <v>4</v>
      </c>
      <c r="W21" s="125" t="s">
        <v>25</v>
      </c>
      <c r="X21" s="125" t="s">
        <v>25</v>
      </c>
      <c r="Y21" s="58" t="s">
        <v>1</v>
      </c>
      <c r="Z21" s="58" t="s">
        <v>2</v>
      </c>
      <c r="AA21" s="60" t="s">
        <v>4</v>
      </c>
      <c r="AB21" s="60" t="s">
        <v>4</v>
      </c>
      <c r="AC21" s="59" t="s">
        <v>1</v>
      </c>
      <c r="AD21" s="59" t="s">
        <v>2</v>
      </c>
      <c r="AE21" s="58" t="s">
        <v>3</v>
      </c>
      <c r="AF21" s="58" t="s">
        <v>13</v>
      </c>
      <c r="AG21" s="58" t="s">
        <v>13</v>
      </c>
      <c r="AH21" s="109"/>
      <c r="AI21" s="7">
        <f>COUNTIF(D21:AH21,"D")</f>
        <v>2</v>
      </c>
      <c r="AJ21" s="2">
        <f>COUNTIF(D21:AH21,"E")</f>
        <v>9</v>
      </c>
      <c r="AK21" s="2">
        <f>COUNTIF(D21:AH21,"N")</f>
        <v>5</v>
      </c>
      <c r="AL21" s="8">
        <f>COUNTIF(D21:AH21,"O")</f>
        <v>12</v>
      </c>
    </row>
    <row r="22" spans="1:38" ht="12.6" customHeight="1" x14ac:dyDescent="0.3">
      <c r="A22" s="29"/>
      <c r="B22" s="119">
        <v>18</v>
      </c>
      <c r="C22" s="44" t="s">
        <v>49</v>
      </c>
      <c r="D22" s="71" t="s">
        <v>3</v>
      </c>
      <c r="E22" s="32" t="s">
        <v>3</v>
      </c>
      <c r="F22" s="32" t="s">
        <v>4</v>
      </c>
      <c r="G22" s="32" t="s">
        <v>4</v>
      </c>
      <c r="H22" s="101" t="s">
        <v>25</v>
      </c>
      <c r="I22" s="34" t="s">
        <v>4</v>
      </c>
      <c r="J22" s="34" t="s">
        <v>4</v>
      </c>
      <c r="K22" s="32" t="s">
        <v>2</v>
      </c>
      <c r="L22" s="32" t="s">
        <v>2</v>
      </c>
      <c r="M22" s="32" t="s">
        <v>2</v>
      </c>
      <c r="N22" s="32" t="s">
        <v>3</v>
      </c>
      <c r="O22" s="33" t="s">
        <v>3</v>
      </c>
      <c r="P22" s="33" t="s">
        <v>4</v>
      </c>
      <c r="Q22" s="32" t="s">
        <v>4</v>
      </c>
      <c r="R22" s="32" t="s">
        <v>1</v>
      </c>
      <c r="S22" s="32" t="s">
        <v>1</v>
      </c>
      <c r="T22" s="32" t="s">
        <v>1</v>
      </c>
      <c r="U22" s="32" t="s">
        <v>1</v>
      </c>
      <c r="V22" s="33" t="s">
        <v>4</v>
      </c>
      <c r="W22" s="33" t="s">
        <v>2</v>
      </c>
      <c r="X22" s="121" t="s">
        <v>3</v>
      </c>
      <c r="Y22" s="32" t="s">
        <v>3</v>
      </c>
      <c r="Z22" s="32" t="s">
        <v>3</v>
      </c>
      <c r="AA22" s="33" t="s">
        <v>4</v>
      </c>
      <c r="AB22" s="34" t="s">
        <v>4</v>
      </c>
      <c r="AC22" s="34" t="s">
        <v>4</v>
      </c>
      <c r="AD22" s="115" t="s">
        <v>19</v>
      </c>
      <c r="AE22" s="32" t="s">
        <v>2</v>
      </c>
      <c r="AF22" s="32" t="s">
        <v>2</v>
      </c>
      <c r="AG22" s="115" t="s">
        <v>19</v>
      </c>
      <c r="AH22" s="99"/>
      <c r="AI22" s="100">
        <f>COUNTIF(D22:AH22,"D")</f>
        <v>4</v>
      </c>
      <c r="AJ22" s="35">
        <f>COUNTIF(D22:AH22,"E")</f>
        <v>6</v>
      </c>
      <c r="AK22" s="35">
        <f>COUNTIF(D22:AH22,"N")</f>
        <v>7</v>
      </c>
      <c r="AL22" s="36">
        <f>COUNTIF(D22:AH22,"O")</f>
        <v>11</v>
      </c>
    </row>
    <row r="23" spans="1:38" ht="12.6" customHeight="1" x14ac:dyDescent="0.3">
      <c r="A23" s="29" t="s">
        <v>54</v>
      </c>
      <c r="B23" s="105">
        <v>19</v>
      </c>
      <c r="C23" s="120" t="s">
        <v>42</v>
      </c>
      <c r="D23" s="71"/>
      <c r="E23" s="32"/>
      <c r="F23" s="32"/>
      <c r="G23" s="32"/>
      <c r="H23" s="33" t="s">
        <v>4</v>
      </c>
      <c r="I23" s="33" t="s">
        <v>4</v>
      </c>
      <c r="J23" s="32"/>
      <c r="K23" s="32"/>
      <c r="L23" s="32"/>
      <c r="M23" s="32"/>
      <c r="N23" s="32"/>
      <c r="O23" s="33" t="s">
        <v>4</v>
      </c>
      <c r="P23" s="33" t="s">
        <v>4</v>
      </c>
      <c r="Q23" s="32"/>
      <c r="R23" s="32"/>
      <c r="S23" s="32"/>
      <c r="T23" s="32"/>
      <c r="U23" s="32"/>
      <c r="V23" s="33" t="s">
        <v>4</v>
      </c>
      <c r="W23" s="33" t="s">
        <v>4</v>
      </c>
      <c r="X23" s="121" t="s">
        <v>20</v>
      </c>
      <c r="Y23" s="32" t="s">
        <v>20</v>
      </c>
      <c r="Z23" s="32" t="s">
        <v>20</v>
      </c>
      <c r="AA23" s="33" t="s">
        <v>4</v>
      </c>
      <c r="AB23" s="33" t="s">
        <v>4</v>
      </c>
      <c r="AC23" s="33" t="s">
        <v>4</v>
      </c>
      <c r="AD23" s="115" t="s">
        <v>19</v>
      </c>
      <c r="AE23" s="32" t="s">
        <v>4</v>
      </c>
      <c r="AF23" s="32" t="s">
        <v>19</v>
      </c>
      <c r="AG23" s="115" t="s">
        <v>19</v>
      </c>
      <c r="AH23" s="99"/>
      <c r="AI23" s="100">
        <f>COUNTIF(D23:AH23,"D")</f>
        <v>0</v>
      </c>
      <c r="AJ23" s="35">
        <f>COUNTIF(D23:AH23,"E")</f>
        <v>0</v>
      </c>
      <c r="AK23" s="35">
        <f>COUNTIF(D23:AH23,"N")</f>
        <v>0</v>
      </c>
      <c r="AL23" s="36">
        <f>COUNTIF(D23:AH23,"O")</f>
        <v>10</v>
      </c>
    </row>
    <row r="24" spans="1:38" ht="12.6" customHeight="1" x14ac:dyDescent="0.3">
      <c r="A24" s="29"/>
      <c r="B24" s="119">
        <v>20</v>
      </c>
      <c r="C24" s="30" t="s">
        <v>43</v>
      </c>
      <c r="D24" s="71" t="s">
        <v>4</v>
      </c>
      <c r="E24" s="32" t="s">
        <v>4</v>
      </c>
      <c r="F24" s="32" t="s">
        <v>1</v>
      </c>
      <c r="G24" s="32" t="s">
        <v>1</v>
      </c>
      <c r="H24" s="33" t="s">
        <v>3</v>
      </c>
      <c r="I24" s="33" t="s">
        <v>3</v>
      </c>
      <c r="J24" s="32" t="s">
        <v>3</v>
      </c>
      <c r="K24" s="32" t="s">
        <v>4</v>
      </c>
      <c r="L24" s="32" t="s">
        <v>4</v>
      </c>
      <c r="M24" s="32" t="s">
        <v>1</v>
      </c>
      <c r="N24" s="34" t="s">
        <v>1</v>
      </c>
      <c r="O24" s="34" t="s">
        <v>4</v>
      </c>
      <c r="P24" s="33" t="s">
        <v>3</v>
      </c>
      <c r="Q24" s="32" t="s">
        <v>3</v>
      </c>
      <c r="R24" s="32" t="s">
        <v>4</v>
      </c>
      <c r="S24" s="32" t="s">
        <v>4</v>
      </c>
      <c r="T24" s="32" t="s">
        <v>2</v>
      </c>
      <c r="U24" s="32" t="s">
        <v>2</v>
      </c>
      <c r="V24" s="33" t="s">
        <v>2</v>
      </c>
      <c r="W24" s="33" t="s">
        <v>2</v>
      </c>
      <c r="X24" s="32" t="s">
        <v>26</v>
      </c>
      <c r="Y24" s="32" t="s">
        <v>25</v>
      </c>
      <c r="Z24" s="32" t="s">
        <v>2</v>
      </c>
      <c r="AA24" s="33" t="s">
        <v>3</v>
      </c>
      <c r="AB24" s="33" t="s">
        <v>3</v>
      </c>
      <c r="AC24" s="33" t="s">
        <v>4</v>
      </c>
      <c r="AD24" s="33" t="s">
        <v>4</v>
      </c>
      <c r="AE24" s="32" t="s">
        <v>1</v>
      </c>
      <c r="AF24" s="32" t="s">
        <v>1</v>
      </c>
      <c r="AG24" s="32" t="s">
        <v>1</v>
      </c>
      <c r="AH24" s="99"/>
      <c r="AI24" s="100">
        <f t="shared" si="4"/>
        <v>7</v>
      </c>
      <c r="AJ24" s="35">
        <f t="shared" si="5"/>
        <v>6</v>
      </c>
      <c r="AK24" s="35">
        <f t="shared" si="6"/>
        <v>7</v>
      </c>
      <c r="AL24" s="36">
        <f t="shared" si="7"/>
        <v>10</v>
      </c>
    </row>
    <row r="25" spans="1:38" ht="12.6" customHeight="1" x14ac:dyDescent="0.3">
      <c r="A25" s="29"/>
      <c r="B25" s="105">
        <v>21</v>
      </c>
      <c r="C25" s="30" t="s">
        <v>36</v>
      </c>
      <c r="D25" s="71" t="s">
        <v>2</v>
      </c>
      <c r="E25" s="32" t="s">
        <v>4</v>
      </c>
      <c r="F25" s="32" t="s">
        <v>3</v>
      </c>
      <c r="G25" s="101" t="s">
        <v>25</v>
      </c>
      <c r="H25" s="33" t="s">
        <v>4</v>
      </c>
      <c r="I25" s="33" t="s">
        <v>4</v>
      </c>
      <c r="J25" s="32" t="s">
        <v>1</v>
      </c>
      <c r="K25" s="32" t="s">
        <v>1</v>
      </c>
      <c r="L25" s="32" t="s">
        <v>1</v>
      </c>
      <c r="M25" s="32" t="s">
        <v>4</v>
      </c>
      <c r="N25" s="32" t="s">
        <v>2</v>
      </c>
      <c r="O25" s="33" t="s">
        <v>2</v>
      </c>
      <c r="P25" s="33" t="s">
        <v>4</v>
      </c>
      <c r="Q25" s="32" t="s">
        <v>2</v>
      </c>
      <c r="R25" s="32" t="s">
        <v>3</v>
      </c>
      <c r="S25" s="32" t="s">
        <v>3</v>
      </c>
      <c r="T25" s="32" t="s">
        <v>3</v>
      </c>
      <c r="U25" s="32" t="s">
        <v>4</v>
      </c>
      <c r="V25" s="33" t="s">
        <v>4</v>
      </c>
      <c r="W25" s="33" t="s">
        <v>2</v>
      </c>
      <c r="X25" s="32" t="s">
        <v>2</v>
      </c>
      <c r="Y25" s="101" t="s">
        <v>26</v>
      </c>
      <c r="Z25" s="32" t="s">
        <v>4</v>
      </c>
      <c r="AA25" s="33" t="s">
        <v>4</v>
      </c>
      <c r="AB25" s="33" t="s">
        <v>4</v>
      </c>
      <c r="AC25" s="33" t="s">
        <v>2</v>
      </c>
      <c r="AD25" s="33" t="s">
        <v>2</v>
      </c>
      <c r="AE25" s="32" t="s">
        <v>2</v>
      </c>
      <c r="AF25" s="32" t="s">
        <v>3</v>
      </c>
      <c r="AG25" s="32" t="s">
        <v>3</v>
      </c>
      <c r="AH25" s="99"/>
      <c r="AI25" s="100">
        <f>COUNTIF(D25:AH25,"D")</f>
        <v>3</v>
      </c>
      <c r="AJ25" s="35">
        <f>COUNTIF(D25:AH25,"E")</f>
        <v>10</v>
      </c>
      <c r="AK25" s="35">
        <f>COUNTIF(D25:AH25,"N")</f>
        <v>6</v>
      </c>
      <c r="AL25" s="36">
        <f>COUNTIF(D25:AH25,"O")</f>
        <v>11</v>
      </c>
    </row>
    <row r="26" spans="1:38" ht="12.6" customHeight="1" thickBot="1" x14ac:dyDescent="0.35">
      <c r="A26" s="46"/>
      <c r="B26" s="110">
        <v>22</v>
      </c>
      <c r="C26" s="47" t="s">
        <v>38</v>
      </c>
      <c r="D26" s="126" t="s">
        <v>3</v>
      </c>
      <c r="E26" s="113" t="s">
        <v>3</v>
      </c>
      <c r="F26" s="49" t="s">
        <v>4</v>
      </c>
      <c r="G26" s="49" t="s">
        <v>4</v>
      </c>
      <c r="H26" s="50" t="s">
        <v>1</v>
      </c>
      <c r="I26" s="50" t="s">
        <v>1</v>
      </c>
      <c r="J26" s="49" t="s">
        <v>25</v>
      </c>
      <c r="K26" s="49" t="s">
        <v>2</v>
      </c>
      <c r="L26" s="49" t="s">
        <v>26</v>
      </c>
      <c r="M26" s="127" t="s">
        <v>25</v>
      </c>
      <c r="N26" s="113" t="s">
        <v>3</v>
      </c>
      <c r="O26" s="42" t="s">
        <v>4</v>
      </c>
      <c r="P26" s="50" t="s">
        <v>4</v>
      </c>
      <c r="Q26" s="49" t="s">
        <v>1</v>
      </c>
      <c r="R26" s="49" t="s">
        <v>2</v>
      </c>
      <c r="S26" s="49" t="s">
        <v>2</v>
      </c>
      <c r="T26" s="49" t="s">
        <v>4</v>
      </c>
      <c r="U26" s="113" t="s">
        <v>3</v>
      </c>
      <c r="V26" s="113" t="s">
        <v>3</v>
      </c>
      <c r="W26" s="113" t="s">
        <v>3</v>
      </c>
      <c r="X26" s="49" t="s">
        <v>4</v>
      </c>
      <c r="Y26" s="49" t="s">
        <v>4</v>
      </c>
      <c r="Z26" s="49" t="s">
        <v>4</v>
      </c>
      <c r="AA26" s="50" t="s">
        <v>1</v>
      </c>
      <c r="AB26" s="50" t="s">
        <v>1</v>
      </c>
      <c r="AC26" s="50" t="s">
        <v>4</v>
      </c>
      <c r="AD26" s="50" t="s">
        <v>1</v>
      </c>
      <c r="AE26" s="49" t="s">
        <v>1</v>
      </c>
      <c r="AF26" s="49" t="s">
        <v>1</v>
      </c>
      <c r="AG26" s="49" t="s">
        <v>2</v>
      </c>
      <c r="AH26" s="114"/>
      <c r="AI26" s="13">
        <f>COUNTIF(D26:AH26,"D")</f>
        <v>8</v>
      </c>
      <c r="AJ26" s="9">
        <f>COUNTIF(D26:AH26,"E")</f>
        <v>5</v>
      </c>
      <c r="AK26" s="9">
        <f>COUNTIF(D26:AH26,"N")</f>
        <v>6</v>
      </c>
      <c r="AL26" s="14">
        <f>COUNTIF(D26:AH26,"O")</f>
        <v>11</v>
      </c>
    </row>
    <row r="27" spans="1:38" ht="12.6" customHeight="1" x14ac:dyDescent="0.3">
      <c r="A27" s="23" t="s">
        <v>2</v>
      </c>
      <c r="B27" s="97">
        <v>23</v>
      </c>
      <c r="C27" s="24" t="s">
        <v>33</v>
      </c>
      <c r="D27" s="70" t="s">
        <v>4</v>
      </c>
      <c r="E27" s="26" t="s">
        <v>1</v>
      </c>
      <c r="F27" s="26" t="s">
        <v>1</v>
      </c>
      <c r="G27" s="26" t="s">
        <v>1</v>
      </c>
      <c r="H27" s="28" t="s">
        <v>4</v>
      </c>
      <c r="I27" s="28" t="s">
        <v>4</v>
      </c>
      <c r="J27" s="26" t="s">
        <v>1</v>
      </c>
      <c r="K27" s="26" t="s">
        <v>1</v>
      </c>
      <c r="L27" s="26" t="s">
        <v>1</v>
      </c>
      <c r="M27" s="26" t="s">
        <v>4</v>
      </c>
      <c r="N27" s="26" t="s">
        <v>4</v>
      </c>
      <c r="O27" s="27" t="s">
        <v>1</v>
      </c>
      <c r="P27" s="27" t="s">
        <v>1</v>
      </c>
      <c r="Q27" s="26" t="s">
        <v>4</v>
      </c>
      <c r="R27" s="26" t="s">
        <v>1</v>
      </c>
      <c r="S27" s="26" t="s">
        <v>1</v>
      </c>
      <c r="T27" s="26" t="s">
        <v>1</v>
      </c>
      <c r="U27" s="26" t="s">
        <v>4</v>
      </c>
      <c r="V27" s="27" t="s">
        <v>1</v>
      </c>
      <c r="W27" s="27" t="s">
        <v>1</v>
      </c>
      <c r="X27" s="28" t="s">
        <v>4</v>
      </c>
      <c r="Y27" s="28" t="s">
        <v>4</v>
      </c>
      <c r="Z27" s="26" t="s">
        <v>4</v>
      </c>
      <c r="AA27" s="27" t="s">
        <v>1</v>
      </c>
      <c r="AB27" s="27" t="s">
        <v>1</v>
      </c>
      <c r="AC27" s="27" t="s">
        <v>4</v>
      </c>
      <c r="AD27" s="27" t="s">
        <v>1</v>
      </c>
      <c r="AE27" s="26" t="s">
        <v>1</v>
      </c>
      <c r="AF27" s="26" t="s">
        <v>4</v>
      </c>
      <c r="AG27" s="26" t="s">
        <v>4</v>
      </c>
      <c r="AH27" s="94"/>
      <c r="AI27" s="7">
        <f t="shared" si="4"/>
        <v>17</v>
      </c>
      <c r="AJ27" s="2">
        <f t="shared" si="5"/>
        <v>0</v>
      </c>
      <c r="AK27" s="2">
        <f t="shared" si="6"/>
        <v>0</v>
      </c>
      <c r="AL27" s="8">
        <f t="shared" si="7"/>
        <v>13</v>
      </c>
    </row>
    <row r="28" spans="1:38" ht="12.6" customHeight="1" x14ac:dyDescent="0.3">
      <c r="A28" s="29"/>
      <c r="B28" s="98">
        <v>24</v>
      </c>
      <c r="C28" s="30" t="s">
        <v>39</v>
      </c>
      <c r="D28" s="71" t="s">
        <v>1</v>
      </c>
      <c r="E28" s="32" t="s">
        <v>1</v>
      </c>
      <c r="F28" s="32" t="s">
        <v>2</v>
      </c>
      <c r="G28" s="32" t="s">
        <v>4</v>
      </c>
      <c r="H28" s="34" t="s">
        <v>4</v>
      </c>
      <c r="I28" s="33" t="s">
        <v>2</v>
      </c>
      <c r="J28" s="32" t="s">
        <v>2</v>
      </c>
      <c r="K28" s="32" t="s">
        <v>3</v>
      </c>
      <c r="L28" s="101" t="s">
        <v>25</v>
      </c>
      <c r="M28" s="32" t="s">
        <v>4</v>
      </c>
      <c r="N28" s="32" t="s">
        <v>4</v>
      </c>
      <c r="O28" s="33" t="s">
        <v>1</v>
      </c>
      <c r="P28" s="33" t="s">
        <v>2</v>
      </c>
      <c r="Q28" s="32" t="s">
        <v>2</v>
      </c>
      <c r="R28" s="32" t="s">
        <v>3</v>
      </c>
      <c r="S28" s="32" t="s">
        <v>3</v>
      </c>
      <c r="T28" s="32" t="s">
        <v>4</v>
      </c>
      <c r="U28" s="32" t="s">
        <v>4</v>
      </c>
      <c r="V28" s="37" t="s">
        <v>1</v>
      </c>
      <c r="W28" s="101" t="s">
        <v>24</v>
      </c>
      <c r="X28" s="32" t="s">
        <v>24</v>
      </c>
      <c r="Y28" s="32" t="s">
        <v>4</v>
      </c>
      <c r="Z28" s="32" t="s">
        <v>2</v>
      </c>
      <c r="AA28" s="33" t="s">
        <v>2</v>
      </c>
      <c r="AB28" s="33" t="s">
        <v>4</v>
      </c>
      <c r="AC28" s="33" t="s">
        <v>3</v>
      </c>
      <c r="AD28" s="33" t="s">
        <v>3</v>
      </c>
      <c r="AE28" s="32" t="s">
        <v>3</v>
      </c>
      <c r="AF28" s="32" t="s">
        <v>4</v>
      </c>
      <c r="AG28" s="32" t="s">
        <v>4</v>
      </c>
      <c r="AH28" s="99"/>
      <c r="AI28" s="100">
        <f>COUNTIF(D28:AH28,"D")</f>
        <v>6</v>
      </c>
      <c r="AJ28" s="35">
        <f>COUNTIF(D28:AH28,"E")</f>
        <v>7</v>
      </c>
      <c r="AK28" s="35">
        <f>COUNTIF(D28:AH28,"N")</f>
        <v>6</v>
      </c>
      <c r="AL28" s="36">
        <f t="shared" si="7"/>
        <v>11</v>
      </c>
    </row>
    <row r="29" spans="1:38" ht="12.6" customHeight="1" x14ac:dyDescent="0.3">
      <c r="A29" s="45"/>
      <c r="B29" s="119">
        <v>25</v>
      </c>
      <c r="C29" s="44" t="s">
        <v>47</v>
      </c>
      <c r="D29" s="71" t="s">
        <v>3</v>
      </c>
      <c r="E29" s="32" t="s">
        <v>3</v>
      </c>
      <c r="F29" s="32" t="s">
        <v>4</v>
      </c>
      <c r="G29" s="32" t="s">
        <v>4</v>
      </c>
      <c r="H29" s="34" t="s">
        <v>4</v>
      </c>
      <c r="I29" s="33" t="s">
        <v>1</v>
      </c>
      <c r="J29" s="32" t="s">
        <v>1</v>
      </c>
      <c r="K29" s="115" t="s">
        <v>18</v>
      </c>
      <c r="L29" s="32" t="s">
        <v>4</v>
      </c>
      <c r="M29" s="54" t="s">
        <v>19</v>
      </c>
      <c r="N29" s="32" t="s">
        <v>3</v>
      </c>
      <c r="O29" s="33" t="s">
        <v>3</v>
      </c>
      <c r="P29" s="33" t="s">
        <v>4</v>
      </c>
      <c r="Q29" s="32" t="s">
        <v>4</v>
      </c>
      <c r="R29" s="32" t="s">
        <v>1</v>
      </c>
      <c r="S29" s="32" t="s">
        <v>1</v>
      </c>
      <c r="T29" s="32" t="s">
        <v>1</v>
      </c>
      <c r="U29" s="115" t="s">
        <v>27</v>
      </c>
      <c r="V29" s="33" t="s">
        <v>2</v>
      </c>
      <c r="W29" s="34" t="s">
        <v>4</v>
      </c>
      <c r="X29" s="34" t="s">
        <v>4</v>
      </c>
      <c r="Y29" s="32" t="s">
        <v>1</v>
      </c>
      <c r="Z29" s="32" t="s">
        <v>3</v>
      </c>
      <c r="AA29" s="33" t="s">
        <v>3</v>
      </c>
      <c r="AB29" s="33" t="s">
        <v>3</v>
      </c>
      <c r="AC29" s="33" t="s">
        <v>4</v>
      </c>
      <c r="AD29" s="33" t="s">
        <v>4</v>
      </c>
      <c r="AE29" s="32" t="s">
        <v>2</v>
      </c>
      <c r="AF29" s="115" t="s">
        <v>19</v>
      </c>
      <c r="AG29" s="115" t="s">
        <v>19</v>
      </c>
      <c r="AH29" s="99"/>
      <c r="AI29" s="100">
        <f>COUNTIF(D29:AH29,"D")</f>
        <v>6</v>
      </c>
      <c r="AJ29" s="35">
        <f>COUNTIF(D29:AH29,"E")</f>
        <v>2</v>
      </c>
      <c r="AK29" s="35">
        <f>COUNTIF(D29:AH29,"N")</f>
        <v>7</v>
      </c>
      <c r="AL29" s="36">
        <f t="shared" si="7"/>
        <v>10</v>
      </c>
    </row>
    <row r="30" spans="1:38" ht="12.6" customHeight="1" x14ac:dyDescent="0.3">
      <c r="A30" s="45" t="s">
        <v>54</v>
      </c>
      <c r="B30" s="98">
        <v>26</v>
      </c>
      <c r="C30" s="44" t="s">
        <v>42</v>
      </c>
      <c r="D30" s="71" t="s">
        <v>20</v>
      </c>
      <c r="E30" s="32" t="s">
        <v>20</v>
      </c>
      <c r="F30" s="32" t="s">
        <v>4</v>
      </c>
      <c r="G30" s="32" t="s">
        <v>4</v>
      </c>
      <c r="H30" s="33" t="s">
        <v>4</v>
      </c>
      <c r="I30" s="33" t="s">
        <v>18</v>
      </c>
      <c r="J30" s="32" t="s">
        <v>18</v>
      </c>
      <c r="K30" s="115" t="s">
        <v>18</v>
      </c>
      <c r="L30" s="32" t="s">
        <v>4</v>
      </c>
      <c r="M30" s="54" t="s">
        <v>19</v>
      </c>
      <c r="N30" s="32" t="s">
        <v>20</v>
      </c>
      <c r="O30" s="33" t="s">
        <v>20</v>
      </c>
      <c r="P30" s="33" t="s">
        <v>4</v>
      </c>
      <c r="Q30" s="32" t="s">
        <v>4</v>
      </c>
      <c r="R30" s="32" t="s">
        <v>18</v>
      </c>
      <c r="S30" s="32" t="s">
        <v>18</v>
      </c>
      <c r="T30" s="32" t="s">
        <v>18</v>
      </c>
      <c r="U30" s="115" t="s">
        <v>21</v>
      </c>
      <c r="V30" s="33" t="s">
        <v>19</v>
      </c>
      <c r="W30" s="33" t="s">
        <v>4</v>
      </c>
      <c r="X30" s="32" t="s">
        <v>4</v>
      </c>
      <c r="Y30" s="32" t="s">
        <v>18</v>
      </c>
      <c r="Z30" s="32" t="s">
        <v>20</v>
      </c>
      <c r="AA30" s="33" t="s">
        <v>20</v>
      </c>
      <c r="AB30" s="33" t="s">
        <v>20</v>
      </c>
      <c r="AC30" s="33" t="s">
        <v>4</v>
      </c>
      <c r="AD30" s="33" t="s">
        <v>4</v>
      </c>
      <c r="AE30" s="32" t="s">
        <v>19</v>
      </c>
      <c r="AF30" s="115" t="s">
        <v>19</v>
      </c>
      <c r="AG30" s="115" t="s">
        <v>19</v>
      </c>
      <c r="AH30" s="99"/>
      <c r="AI30" s="100">
        <f>COUNTIF(D30:AH30,"D")</f>
        <v>0</v>
      </c>
      <c r="AJ30" s="35">
        <f>COUNTIF(D30:AH30,"E")</f>
        <v>0</v>
      </c>
      <c r="AK30" s="35">
        <f>COUNTIF(D30:AH30,"N")</f>
        <v>0</v>
      </c>
      <c r="AL30" s="36">
        <f t="shared" si="7"/>
        <v>10</v>
      </c>
    </row>
    <row r="31" spans="1:38" ht="12.6" customHeight="1" x14ac:dyDescent="0.3">
      <c r="A31" s="45"/>
      <c r="B31" s="98">
        <v>27</v>
      </c>
      <c r="C31" s="30" t="s">
        <v>37</v>
      </c>
      <c r="D31" s="71" t="s">
        <v>4</v>
      </c>
      <c r="E31" s="32" t="s">
        <v>4</v>
      </c>
      <c r="F31" s="32" t="s">
        <v>2</v>
      </c>
      <c r="G31" s="32" t="s">
        <v>2</v>
      </c>
      <c r="H31" s="122" t="s">
        <v>3</v>
      </c>
      <c r="I31" s="122" t="s">
        <v>3</v>
      </c>
      <c r="J31" s="32" t="s">
        <v>4</v>
      </c>
      <c r="K31" s="32" t="s">
        <v>4</v>
      </c>
      <c r="L31" s="32" t="s">
        <v>1</v>
      </c>
      <c r="M31" s="32" t="s">
        <v>1</v>
      </c>
      <c r="N31" s="32" t="s">
        <v>4</v>
      </c>
      <c r="O31" s="33" t="s">
        <v>1</v>
      </c>
      <c r="P31" s="33" t="s">
        <v>1</v>
      </c>
      <c r="Q31" s="122" t="s">
        <v>3</v>
      </c>
      <c r="R31" s="122" t="s">
        <v>3</v>
      </c>
      <c r="S31" s="32" t="s">
        <v>4</v>
      </c>
      <c r="T31" s="32" t="s">
        <v>4</v>
      </c>
      <c r="U31" s="32" t="s">
        <v>1</v>
      </c>
      <c r="V31" s="33" t="s">
        <v>1</v>
      </c>
      <c r="W31" s="33" t="s">
        <v>2</v>
      </c>
      <c r="X31" s="32" t="s">
        <v>4</v>
      </c>
      <c r="Y31" s="32" t="s">
        <v>4</v>
      </c>
      <c r="Z31" s="32" t="s">
        <v>1</v>
      </c>
      <c r="AA31" s="33" t="s">
        <v>2</v>
      </c>
      <c r="AB31" s="33" t="s">
        <v>2</v>
      </c>
      <c r="AC31" s="33" t="s">
        <v>4</v>
      </c>
      <c r="AD31" s="33" t="s">
        <v>2</v>
      </c>
      <c r="AE31" s="122" t="s">
        <v>3</v>
      </c>
      <c r="AF31" s="122" t="s">
        <v>3</v>
      </c>
      <c r="AG31" s="122" t="s">
        <v>3</v>
      </c>
      <c r="AH31" s="99"/>
      <c r="AI31" s="100">
        <f>COUNTIF(D31:AH31,"D")</f>
        <v>7</v>
      </c>
      <c r="AJ31" s="35">
        <f>COUNTIF(D31:AH31,"E")</f>
        <v>6</v>
      </c>
      <c r="AK31" s="35">
        <f>COUNTIF(D31:AH31,"N")</f>
        <v>7</v>
      </c>
      <c r="AL31" s="36">
        <f t="shared" si="7"/>
        <v>10</v>
      </c>
    </row>
    <row r="32" spans="1:38" ht="12.6" customHeight="1" thickBot="1" x14ac:dyDescent="0.35">
      <c r="A32" s="128"/>
      <c r="B32" s="102">
        <v>28</v>
      </c>
      <c r="C32" s="39" t="s">
        <v>48</v>
      </c>
      <c r="D32" s="72" t="s">
        <v>1</v>
      </c>
      <c r="E32" s="41" t="s">
        <v>2</v>
      </c>
      <c r="F32" s="129" t="s">
        <v>3</v>
      </c>
      <c r="G32" s="129" t="s">
        <v>3</v>
      </c>
      <c r="H32" s="42" t="s">
        <v>4</v>
      </c>
      <c r="I32" s="42" t="s">
        <v>4</v>
      </c>
      <c r="J32" s="41" t="s">
        <v>4</v>
      </c>
      <c r="K32" s="41" t="s">
        <v>1</v>
      </c>
      <c r="L32" s="41" t="s">
        <v>2</v>
      </c>
      <c r="M32" s="41" t="s">
        <v>2</v>
      </c>
      <c r="N32" s="41" t="s">
        <v>4</v>
      </c>
      <c r="O32" s="129" t="s">
        <v>3</v>
      </c>
      <c r="P32" s="129" t="s">
        <v>3</v>
      </c>
      <c r="Q32" s="41" t="s">
        <v>4</v>
      </c>
      <c r="R32" s="41" t="s">
        <v>4</v>
      </c>
      <c r="S32" s="41" t="s">
        <v>1</v>
      </c>
      <c r="T32" s="41" t="s">
        <v>2</v>
      </c>
      <c r="U32" s="41" t="s">
        <v>2</v>
      </c>
      <c r="V32" s="42" t="s">
        <v>2</v>
      </c>
      <c r="W32" s="42" t="s">
        <v>4</v>
      </c>
      <c r="X32" s="41" t="s">
        <v>2</v>
      </c>
      <c r="Y32" s="41" t="s">
        <v>2</v>
      </c>
      <c r="Z32" s="41" t="s">
        <v>4</v>
      </c>
      <c r="AA32" s="129" t="s">
        <v>3</v>
      </c>
      <c r="AB32" s="129" t="s">
        <v>3</v>
      </c>
      <c r="AC32" s="129" t="s">
        <v>3</v>
      </c>
      <c r="AD32" s="42" t="s">
        <v>4</v>
      </c>
      <c r="AE32" s="41" t="s">
        <v>4</v>
      </c>
      <c r="AF32" s="41" t="s">
        <v>4</v>
      </c>
      <c r="AG32" s="41" t="s">
        <v>1</v>
      </c>
      <c r="AH32" s="104"/>
      <c r="AI32" s="13">
        <f>COUNTIF(D32:AH32,"D")</f>
        <v>4</v>
      </c>
      <c r="AJ32" s="9">
        <f>COUNTIF(D32:AH32,"E")</f>
        <v>8</v>
      </c>
      <c r="AK32" s="9">
        <f>COUNTIF(D32:AH32,"N")</f>
        <v>7</v>
      </c>
      <c r="AL32" s="14">
        <f t="shared" si="7"/>
        <v>11</v>
      </c>
    </row>
    <row r="33" spans="1:38" ht="12.6" customHeight="1" x14ac:dyDescent="0.3">
      <c r="A33" s="164"/>
      <c r="B33" s="170"/>
      <c r="C33" s="170"/>
      <c r="D33" s="73">
        <f t="shared" ref="D33:AH33" si="8">COUNTIF(D2:D32,"D")</f>
        <v>5</v>
      </c>
      <c r="E33" s="74">
        <f t="shared" si="8"/>
        <v>5</v>
      </c>
      <c r="F33" s="74">
        <f t="shared" si="8"/>
        <v>5</v>
      </c>
      <c r="G33" s="74">
        <f t="shared" si="8"/>
        <v>5</v>
      </c>
      <c r="H33" s="75">
        <f t="shared" si="8"/>
        <v>4</v>
      </c>
      <c r="I33" s="75">
        <f t="shared" si="8"/>
        <v>5</v>
      </c>
      <c r="J33" s="74">
        <f t="shared" si="8"/>
        <v>5</v>
      </c>
      <c r="K33" s="74">
        <f t="shared" si="8"/>
        <v>5</v>
      </c>
      <c r="L33" s="74">
        <f t="shared" si="8"/>
        <v>5</v>
      </c>
      <c r="M33" s="74">
        <f t="shared" si="8"/>
        <v>5</v>
      </c>
      <c r="N33" s="74">
        <f t="shared" si="8"/>
        <v>5</v>
      </c>
      <c r="O33" s="75">
        <f t="shared" si="8"/>
        <v>5</v>
      </c>
      <c r="P33" s="75">
        <f t="shared" si="8"/>
        <v>5</v>
      </c>
      <c r="Q33" s="74">
        <f t="shared" si="8"/>
        <v>5</v>
      </c>
      <c r="R33" s="74">
        <f t="shared" si="8"/>
        <v>5</v>
      </c>
      <c r="S33" s="74">
        <f t="shared" si="8"/>
        <v>5</v>
      </c>
      <c r="T33" s="74">
        <f t="shared" si="8"/>
        <v>5</v>
      </c>
      <c r="U33" s="74">
        <f t="shared" si="8"/>
        <v>5</v>
      </c>
      <c r="V33" s="75">
        <f t="shared" si="8"/>
        <v>5</v>
      </c>
      <c r="W33" s="75">
        <f t="shared" si="8"/>
        <v>5</v>
      </c>
      <c r="X33" s="74">
        <f t="shared" si="8"/>
        <v>5</v>
      </c>
      <c r="Y33" s="74">
        <f t="shared" si="8"/>
        <v>5</v>
      </c>
      <c r="Z33" s="74">
        <f t="shared" si="8"/>
        <v>5</v>
      </c>
      <c r="AA33" s="75">
        <f t="shared" si="8"/>
        <v>5</v>
      </c>
      <c r="AB33" s="75">
        <f t="shared" si="8"/>
        <v>5</v>
      </c>
      <c r="AC33" s="75">
        <f t="shared" si="8"/>
        <v>5</v>
      </c>
      <c r="AD33" s="75">
        <f t="shared" si="8"/>
        <v>5</v>
      </c>
      <c r="AE33" s="74">
        <f t="shared" si="8"/>
        <v>5</v>
      </c>
      <c r="AF33" s="74">
        <f t="shared" si="8"/>
        <v>5</v>
      </c>
      <c r="AG33" s="74">
        <f t="shared" si="8"/>
        <v>5</v>
      </c>
      <c r="AH33" s="130">
        <f t="shared" si="8"/>
        <v>0</v>
      </c>
      <c r="AI33" s="78">
        <f>SUM(D33:AH33)</f>
        <v>149</v>
      </c>
      <c r="AJ33" s="78"/>
      <c r="AK33" s="78"/>
      <c r="AL33" s="78"/>
    </row>
    <row r="34" spans="1:38" ht="12.6" customHeight="1" x14ac:dyDescent="0.3">
      <c r="A34" s="166"/>
      <c r="B34" s="170"/>
      <c r="C34" s="170"/>
      <c r="D34" s="79">
        <f t="shared" ref="D34:AH34" si="9">COUNTIF(D2:D32,"E")</f>
        <v>5</v>
      </c>
      <c r="E34" s="80">
        <f t="shared" si="9"/>
        <v>5</v>
      </c>
      <c r="F34" s="80">
        <f t="shared" si="9"/>
        <v>5</v>
      </c>
      <c r="G34" s="80">
        <f t="shared" si="9"/>
        <v>4</v>
      </c>
      <c r="H34" s="81">
        <f t="shared" si="9"/>
        <v>4</v>
      </c>
      <c r="I34" s="81">
        <f t="shared" si="9"/>
        <v>5</v>
      </c>
      <c r="J34" s="80">
        <f t="shared" si="9"/>
        <v>5</v>
      </c>
      <c r="K34" s="80">
        <f t="shared" si="9"/>
        <v>5</v>
      </c>
      <c r="L34" s="80">
        <f t="shared" si="9"/>
        <v>4</v>
      </c>
      <c r="M34" s="80">
        <f t="shared" si="9"/>
        <v>4</v>
      </c>
      <c r="N34" s="80">
        <f t="shared" si="9"/>
        <v>5</v>
      </c>
      <c r="O34" s="81">
        <f t="shared" si="9"/>
        <v>5</v>
      </c>
      <c r="P34" s="81">
        <f t="shared" si="9"/>
        <v>5</v>
      </c>
      <c r="Q34" s="80">
        <f t="shared" si="9"/>
        <v>5</v>
      </c>
      <c r="R34" s="80">
        <f t="shared" si="9"/>
        <v>5</v>
      </c>
      <c r="S34" s="80">
        <f t="shared" si="9"/>
        <v>5</v>
      </c>
      <c r="T34" s="80">
        <f t="shared" si="9"/>
        <v>5</v>
      </c>
      <c r="U34" s="80">
        <f t="shared" si="9"/>
        <v>5</v>
      </c>
      <c r="V34" s="81">
        <f t="shared" si="9"/>
        <v>5</v>
      </c>
      <c r="W34" s="81">
        <f t="shared" si="9"/>
        <v>5</v>
      </c>
      <c r="X34" s="80">
        <f t="shared" si="9"/>
        <v>5</v>
      </c>
      <c r="Y34" s="80">
        <f t="shared" si="9"/>
        <v>5</v>
      </c>
      <c r="Z34" s="80">
        <f t="shared" si="9"/>
        <v>5</v>
      </c>
      <c r="AA34" s="81">
        <f t="shared" si="9"/>
        <v>5</v>
      </c>
      <c r="AB34" s="81">
        <f t="shared" si="9"/>
        <v>5</v>
      </c>
      <c r="AC34" s="81">
        <f t="shared" si="9"/>
        <v>5</v>
      </c>
      <c r="AD34" s="81">
        <f t="shared" si="9"/>
        <v>5</v>
      </c>
      <c r="AE34" s="80">
        <f t="shared" si="9"/>
        <v>5</v>
      </c>
      <c r="AF34" s="80">
        <f t="shared" si="9"/>
        <v>5</v>
      </c>
      <c r="AG34" s="80">
        <f t="shared" si="9"/>
        <v>5</v>
      </c>
      <c r="AH34" s="131">
        <f t="shared" si="9"/>
        <v>0</v>
      </c>
      <c r="AI34" s="84"/>
      <c r="AJ34" s="84"/>
      <c r="AK34" s="84" t="s">
        <v>1</v>
      </c>
      <c r="AL34" s="84"/>
    </row>
    <row r="35" spans="1:38" ht="12.6" customHeight="1" x14ac:dyDescent="0.3">
      <c r="A35" s="166"/>
      <c r="B35" s="170"/>
      <c r="C35" s="170"/>
      <c r="D35" s="79">
        <f t="shared" ref="D35:AH35" si="10">COUNTIF(D2:D32,"N")</f>
        <v>5</v>
      </c>
      <c r="E35" s="80">
        <f t="shared" si="10"/>
        <v>5</v>
      </c>
      <c r="F35" s="80">
        <f t="shared" si="10"/>
        <v>4</v>
      </c>
      <c r="G35" s="80">
        <f t="shared" si="10"/>
        <v>4</v>
      </c>
      <c r="H35" s="81">
        <f t="shared" si="10"/>
        <v>4</v>
      </c>
      <c r="I35" s="81">
        <f t="shared" si="10"/>
        <v>5</v>
      </c>
      <c r="J35" s="80">
        <f t="shared" si="10"/>
        <v>5</v>
      </c>
      <c r="K35" s="80">
        <f t="shared" si="10"/>
        <v>5</v>
      </c>
      <c r="L35" s="80">
        <f t="shared" si="10"/>
        <v>4</v>
      </c>
      <c r="M35" s="80">
        <f t="shared" si="10"/>
        <v>4</v>
      </c>
      <c r="N35" s="80">
        <f t="shared" si="10"/>
        <v>5</v>
      </c>
      <c r="O35" s="81">
        <f t="shared" si="10"/>
        <v>5</v>
      </c>
      <c r="P35" s="81">
        <f t="shared" si="10"/>
        <v>5</v>
      </c>
      <c r="Q35" s="80">
        <f t="shared" si="10"/>
        <v>5</v>
      </c>
      <c r="R35" s="80">
        <f t="shared" si="10"/>
        <v>5</v>
      </c>
      <c r="S35" s="80">
        <f t="shared" si="10"/>
        <v>5</v>
      </c>
      <c r="T35" s="80">
        <f t="shared" si="10"/>
        <v>5</v>
      </c>
      <c r="U35" s="80">
        <f t="shared" si="10"/>
        <v>5</v>
      </c>
      <c r="V35" s="81">
        <f t="shared" si="10"/>
        <v>5</v>
      </c>
      <c r="W35" s="81">
        <f t="shared" si="10"/>
        <v>5</v>
      </c>
      <c r="X35" s="80">
        <f t="shared" si="10"/>
        <v>5</v>
      </c>
      <c r="Y35" s="80">
        <f t="shared" si="10"/>
        <v>5</v>
      </c>
      <c r="Z35" s="80">
        <f t="shared" si="10"/>
        <v>5</v>
      </c>
      <c r="AA35" s="81">
        <f t="shared" si="10"/>
        <v>5</v>
      </c>
      <c r="AB35" s="81">
        <f t="shared" si="10"/>
        <v>5</v>
      </c>
      <c r="AC35" s="81">
        <f t="shared" si="10"/>
        <v>5</v>
      </c>
      <c r="AD35" s="81">
        <f t="shared" si="10"/>
        <v>5</v>
      </c>
      <c r="AE35" s="80">
        <f t="shared" si="10"/>
        <v>5</v>
      </c>
      <c r="AF35" s="80">
        <f t="shared" si="10"/>
        <v>4</v>
      </c>
      <c r="AG35" s="80">
        <f t="shared" si="10"/>
        <v>5</v>
      </c>
      <c r="AH35" s="131">
        <f t="shared" si="10"/>
        <v>0</v>
      </c>
      <c r="AI35" s="84"/>
      <c r="AJ35" s="84"/>
      <c r="AK35" s="84"/>
      <c r="AL35" s="84" t="s">
        <v>23</v>
      </c>
    </row>
    <row r="36" spans="1:38" ht="12.6" customHeight="1" thickBot="1" x14ac:dyDescent="0.35">
      <c r="A36" s="171"/>
      <c r="B36" s="172"/>
      <c r="C36" s="172"/>
      <c r="D36" s="85">
        <f t="shared" ref="D36:AH36" si="11">COUNTIF(D2:D32,"O")</f>
        <v>9</v>
      </c>
      <c r="E36" s="86">
        <f t="shared" si="11"/>
        <v>10</v>
      </c>
      <c r="F36" s="86">
        <f t="shared" si="11"/>
        <v>10</v>
      </c>
      <c r="G36" s="86">
        <f t="shared" si="11"/>
        <v>12</v>
      </c>
      <c r="H36" s="87">
        <f t="shared" si="11"/>
        <v>14</v>
      </c>
      <c r="I36" s="87">
        <f t="shared" si="11"/>
        <v>12</v>
      </c>
      <c r="J36" s="86">
        <f t="shared" si="11"/>
        <v>9</v>
      </c>
      <c r="K36" s="86">
        <f t="shared" si="11"/>
        <v>8</v>
      </c>
      <c r="L36" s="86">
        <f t="shared" si="11"/>
        <v>9</v>
      </c>
      <c r="M36" s="86">
        <f t="shared" si="11"/>
        <v>10</v>
      </c>
      <c r="N36" s="86">
        <f t="shared" si="11"/>
        <v>9</v>
      </c>
      <c r="O36" s="87">
        <f t="shared" si="11"/>
        <v>11</v>
      </c>
      <c r="P36" s="87">
        <f t="shared" si="11"/>
        <v>12</v>
      </c>
      <c r="Q36" s="86">
        <f t="shared" si="11"/>
        <v>11</v>
      </c>
      <c r="R36" s="86">
        <f t="shared" si="11"/>
        <v>9</v>
      </c>
      <c r="S36" s="86">
        <f t="shared" si="11"/>
        <v>9</v>
      </c>
      <c r="T36" s="86">
        <f t="shared" si="11"/>
        <v>10</v>
      </c>
      <c r="U36" s="86">
        <f t="shared" si="11"/>
        <v>9</v>
      </c>
      <c r="V36" s="87">
        <f t="shared" si="11"/>
        <v>11</v>
      </c>
      <c r="W36" s="87">
        <f t="shared" si="11"/>
        <v>12</v>
      </c>
      <c r="X36" s="86">
        <f t="shared" si="11"/>
        <v>11</v>
      </c>
      <c r="Y36" s="86">
        <f t="shared" si="11"/>
        <v>10</v>
      </c>
      <c r="Z36" s="86">
        <f t="shared" si="11"/>
        <v>11</v>
      </c>
      <c r="AA36" s="87">
        <f t="shared" si="11"/>
        <v>12</v>
      </c>
      <c r="AB36" s="87">
        <f t="shared" si="11"/>
        <v>12</v>
      </c>
      <c r="AC36" s="87">
        <f t="shared" si="11"/>
        <v>12</v>
      </c>
      <c r="AD36" s="87">
        <f t="shared" si="11"/>
        <v>10</v>
      </c>
      <c r="AE36" s="86">
        <f t="shared" si="11"/>
        <v>11</v>
      </c>
      <c r="AF36" s="86">
        <f t="shared" si="11"/>
        <v>8</v>
      </c>
      <c r="AG36" s="86">
        <f t="shared" si="11"/>
        <v>6</v>
      </c>
      <c r="AH36" s="132">
        <f t="shared" si="11"/>
        <v>0</v>
      </c>
      <c r="AI36" s="90"/>
      <c r="AJ36" s="90"/>
      <c r="AK36" s="90"/>
      <c r="AL36" s="90"/>
    </row>
    <row r="37" spans="1:38" ht="9" customHeight="1" x14ac:dyDescent="0.3"/>
    <row r="38" spans="1:38" ht="21.75" customHeight="1" x14ac:dyDescent="0.3">
      <c r="D38" s="199" t="s">
        <v>59</v>
      </c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5"/>
    </row>
    <row r="39" spans="1:38" ht="32.25" customHeight="1" x14ac:dyDescent="0.3">
      <c r="D39" s="196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8"/>
    </row>
  </sheetData>
  <mergeCells count="5">
    <mergeCell ref="A1:AL1"/>
    <mergeCell ref="A2:B4"/>
    <mergeCell ref="C2:C3"/>
    <mergeCell ref="A33:C36"/>
    <mergeCell ref="D38:AL39"/>
  </mergeCells>
  <phoneticPr fontId="3" type="noConversion"/>
  <conditionalFormatting sqref="AK4:AK32">
    <cfRule type="cellIs" dxfId="2" priority="1" operator="greaterThan">
      <formula>8</formula>
    </cfRule>
  </conditionalFormatting>
  <pageMargins left="0.25" right="0.1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7F26-AE81-48D8-B3E2-B87226485344}">
  <dimension ref="A1:AL38"/>
  <sheetViews>
    <sheetView topLeftCell="A10" workbookViewId="0">
      <selection activeCell="AN14" sqref="AN14"/>
    </sheetView>
  </sheetViews>
  <sheetFormatPr defaultColWidth="9" defaultRowHeight="16.5" x14ac:dyDescent="0.3"/>
  <cols>
    <col min="1" max="1" width="5.125" style="91" customWidth="1"/>
    <col min="2" max="2" width="4.625" style="92" customWidth="1"/>
    <col min="3" max="3" width="9" style="93" customWidth="1"/>
    <col min="4" max="4" width="3.125" style="92" customWidth="1"/>
    <col min="5" max="5" width="2.875" style="92" customWidth="1"/>
    <col min="6" max="8" width="3.125" style="92" customWidth="1"/>
    <col min="9" max="9" width="3.5" style="92" customWidth="1"/>
    <col min="10" max="36" width="3.125" style="92" customWidth="1"/>
    <col min="37" max="37" width="3.625" style="92" customWidth="1"/>
    <col min="38" max="38" width="5.125" style="92" bestFit="1" customWidth="1"/>
  </cols>
  <sheetData>
    <row r="1" spans="1:38" ht="27" thickBot="1" x14ac:dyDescent="0.35">
      <c r="A1" s="173" t="s">
        <v>52</v>
      </c>
      <c r="B1" s="174"/>
      <c r="C1" s="174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2"/>
    </row>
    <row r="2" spans="1:38" x14ac:dyDescent="0.3">
      <c r="A2" s="164"/>
      <c r="B2" s="165"/>
      <c r="C2" s="168" t="s">
        <v>29</v>
      </c>
      <c r="D2" s="1">
        <v>1</v>
      </c>
      <c r="E2" s="2">
        <v>2</v>
      </c>
      <c r="F2" s="3">
        <v>3</v>
      </c>
      <c r="G2" s="3">
        <v>4</v>
      </c>
      <c r="H2" s="3">
        <v>5</v>
      </c>
      <c r="I2" s="2">
        <v>6</v>
      </c>
      <c r="J2" s="2">
        <v>7</v>
      </c>
      <c r="K2" s="2">
        <v>8</v>
      </c>
      <c r="L2" s="3">
        <v>9</v>
      </c>
      <c r="M2" s="3">
        <v>10</v>
      </c>
      <c r="N2" s="3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3">
        <v>17</v>
      </c>
      <c r="U2" s="3">
        <v>18</v>
      </c>
      <c r="V2" s="2">
        <v>19</v>
      </c>
      <c r="W2" s="2">
        <v>20</v>
      </c>
      <c r="X2" s="200">
        <v>21</v>
      </c>
      <c r="Y2" s="200">
        <v>22</v>
      </c>
      <c r="Z2" s="200">
        <v>23</v>
      </c>
      <c r="AA2" s="3">
        <v>24</v>
      </c>
      <c r="AB2" s="3">
        <v>25</v>
      </c>
      <c r="AC2" s="200">
        <v>26</v>
      </c>
      <c r="AD2" s="2">
        <v>27</v>
      </c>
      <c r="AE2" s="2">
        <v>28</v>
      </c>
      <c r="AF2" s="2">
        <v>29</v>
      </c>
      <c r="AG2" s="2">
        <v>30</v>
      </c>
      <c r="AH2" s="6">
        <v>31</v>
      </c>
      <c r="AI2" s="7" t="s">
        <v>1</v>
      </c>
      <c r="AJ2" s="2" t="s">
        <v>2</v>
      </c>
      <c r="AK2" s="2" t="s">
        <v>3</v>
      </c>
      <c r="AL2" s="8" t="s">
        <v>53</v>
      </c>
    </row>
    <row r="3" spans="1:38" ht="17.25" thickBot="1" x14ac:dyDescent="0.35">
      <c r="A3" s="166"/>
      <c r="B3" s="167"/>
      <c r="C3" s="169"/>
      <c r="D3" s="9" t="s">
        <v>5</v>
      </c>
      <c r="E3" s="9" t="s">
        <v>6</v>
      </c>
      <c r="F3" s="10" t="s">
        <v>7</v>
      </c>
      <c r="G3" s="10" t="s">
        <v>8</v>
      </c>
      <c r="H3" s="10" t="s">
        <v>9</v>
      </c>
      <c r="I3" s="9" t="s">
        <v>10</v>
      </c>
      <c r="J3" s="9" t="s">
        <v>11</v>
      </c>
      <c r="K3" s="9" t="s">
        <v>5</v>
      </c>
      <c r="L3" s="10" t="s">
        <v>6</v>
      </c>
      <c r="M3" s="10" t="s">
        <v>7</v>
      </c>
      <c r="N3" s="10" t="s">
        <v>8</v>
      </c>
      <c r="O3" s="9" t="s">
        <v>9</v>
      </c>
      <c r="P3" s="9" t="s">
        <v>10</v>
      </c>
      <c r="Q3" s="9" t="s">
        <v>11</v>
      </c>
      <c r="R3" s="9" t="s">
        <v>5</v>
      </c>
      <c r="S3" s="9" t="s">
        <v>6</v>
      </c>
      <c r="T3" s="10" t="s">
        <v>7</v>
      </c>
      <c r="U3" s="10" t="s">
        <v>8</v>
      </c>
      <c r="V3" s="9" t="s">
        <v>9</v>
      </c>
      <c r="W3" s="9" t="s">
        <v>10</v>
      </c>
      <c r="X3" s="201" t="s">
        <v>11</v>
      </c>
      <c r="Y3" s="201" t="s">
        <v>5</v>
      </c>
      <c r="Z3" s="201" t="s">
        <v>6</v>
      </c>
      <c r="AA3" s="10" t="s">
        <v>7</v>
      </c>
      <c r="AB3" s="10" t="s">
        <v>8</v>
      </c>
      <c r="AC3" s="201" t="s">
        <v>9</v>
      </c>
      <c r="AD3" s="9" t="s">
        <v>10</v>
      </c>
      <c r="AE3" s="9" t="s">
        <v>11</v>
      </c>
      <c r="AF3" s="9" t="s">
        <v>5</v>
      </c>
      <c r="AG3" s="9" t="s">
        <v>6</v>
      </c>
      <c r="AH3" s="10" t="s">
        <v>7</v>
      </c>
      <c r="AI3" s="13"/>
      <c r="AJ3" s="9"/>
      <c r="AK3" s="9"/>
      <c r="AL3" s="14"/>
    </row>
    <row r="4" spans="1:38" ht="17.25" thickBot="1" x14ac:dyDescent="0.35">
      <c r="A4" s="166"/>
      <c r="B4" s="167"/>
      <c r="C4" s="15"/>
      <c r="D4" s="16"/>
      <c r="E4" s="17"/>
      <c r="F4" s="18"/>
      <c r="G4" s="18"/>
      <c r="H4" s="18"/>
      <c r="I4" s="17"/>
      <c r="J4" s="17"/>
      <c r="K4" s="17"/>
      <c r="L4" s="18"/>
      <c r="M4" s="18"/>
      <c r="N4" s="18"/>
      <c r="O4" s="17"/>
      <c r="P4" s="17"/>
      <c r="Q4" s="17"/>
      <c r="R4" s="17"/>
      <c r="S4" s="17"/>
      <c r="T4" s="18"/>
      <c r="U4" s="18"/>
      <c r="V4" s="17"/>
      <c r="W4" s="17"/>
      <c r="X4" s="202"/>
      <c r="Y4" s="202"/>
      <c r="Z4" s="202"/>
      <c r="AA4" s="18"/>
      <c r="AB4" s="18"/>
      <c r="AC4" s="202"/>
      <c r="AD4" s="17"/>
      <c r="AE4" s="17"/>
      <c r="AF4" s="17"/>
      <c r="AG4" s="17"/>
      <c r="AH4" s="19"/>
      <c r="AI4" s="20">
        <f>COUNTIF(D4:AH4,"D")</f>
        <v>0</v>
      </c>
      <c r="AJ4" s="21">
        <f>COUNTIF(D4:AH4,"E")</f>
        <v>0</v>
      </c>
      <c r="AK4" s="21">
        <f>COUNTIF(D4:AH4,"N")</f>
        <v>0</v>
      </c>
      <c r="AL4" s="22">
        <f>COUNTIF(D4:AH4,"O")</f>
        <v>0</v>
      </c>
    </row>
    <row r="5" spans="1:38" ht="12.6" customHeight="1" x14ac:dyDescent="0.3">
      <c r="A5" s="23" t="s">
        <v>12</v>
      </c>
      <c r="B5" s="133">
        <v>17</v>
      </c>
      <c r="C5" s="24" t="s">
        <v>30</v>
      </c>
      <c r="D5" s="25" t="s">
        <v>4</v>
      </c>
      <c r="E5" s="26" t="s">
        <v>4</v>
      </c>
      <c r="F5" s="27" t="s">
        <v>13</v>
      </c>
      <c r="G5" s="27" t="s">
        <v>13</v>
      </c>
      <c r="H5" s="27" t="s">
        <v>13</v>
      </c>
      <c r="I5" s="26" t="s">
        <v>4</v>
      </c>
      <c r="J5" s="26" t="s">
        <v>13</v>
      </c>
      <c r="K5" s="26" t="s">
        <v>13</v>
      </c>
      <c r="L5" s="27" t="s">
        <v>13</v>
      </c>
      <c r="M5" s="27" t="s">
        <v>13</v>
      </c>
      <c r="N5" s="27" t="s">
        <v>4</v>
      </c>
      <c r="O5" s="26" t="s">
        <v>4</v>
      </c>
      <c r="P5" s="26" t="s">
        <v>13</v>
      </c>
      <c r="Q5" s="28" t="s">
        <v>3</v>
      </c>
      <c r="R5" s="28" t="s">
        <v>3</v>
      </c>
      <c r="S5" s="28" t="s">
        <v>4</v>
      </c>
      <c r="T5" s="28" t="s">
        <v>4</v>
      </c>
      <c r="U5" s="28" t="s">
        <v>2</v>
      </c>
      <c r="V5" s="26" t="s">
        <v>2</v>
      </c>
      <c r="W5" s="28" t="s">
        <v>2</v>
      </c>
      <c r="X5" s="26" t="s">
        <v>3</v>
      </c>
      <c r="Y5" s="26" t="s">
        <v>3</v>
      </c>
      <c r="Z5" s="26" t="s">
        <v>4</v>
      </c>
      <c r="AA5" s="27" t="s">
        <v>4</v>
      </c>
      <c r="AB5" s="27" t="s">
        <v>1</v>
      </c>
      <c r="AC5" s="26" t="s">
        <v>1</v>
      </c>
      <c r="AD5" s="26" t="s">
        <v>4</v>
      </c>
      <c r="AE5" s="26" t="s">
        <v>3</v>
      </c>
      <c r="AF5" s="26" t="s">
        <v>3</v>
      </c>
      <c r="AG5" s="26" t="s">
        <v>3</v>
      </c>
      <c r="AH5" s="28" t="s">
        <v>4</v>
      </c>
      <c r="AI5" s="2">
        <f>COUNTIF(D5:AH5,"D")</f>
        <v>2</v>
      </c>
      <c r="AJ5" s="2">
        <f>COUNTIF(D5:AH5,"E")</f>
        <v>3</v>
      </c>
      <c r="AK5" s="2">
        <f>COUNTIF(D5:AH5,"N")</f>
        <v>7</v>
      </c>
      <c r="AL5" s="8">
        <f>COUNTIF(D5:AH5,"O")</f>
        <v>11</v>
      </c>
    </row>
    <row r="6" spans="1:38" ht="12.6" customHeight="1" x14ac:dyDescent="0.3">
      <c r="A6" s="29"/>
      <c r="B6" s="134">
        <v>6</v>
      </c>
      <c r="C6" s="30" t="s">
        <v>31</v>
      </c>
      <c r="D6" s="31" t="s">
        <v>3</v>
      </c>
      <c r="E6" s="32" t="s">
        <v>3</v>
      </c>
      <c r="F6" s="33" t="s">
        <v>4</v>
      </c>
      <c r="G6" s="33" t="s">
        <v>4</v>
      </c>
      <c r="H6" s="33" t="s">
        <v>2</v>
      </c>
      <c r="I6" s="32" t="s">
        <v>2</v>
      </c>
      <c r="J6" s="32" t="s">
        <v>2</v>
      </c>
      <c r="K6" s="32" t="s">
        <v>4</v>
      </c>
      <c r="L6" s="33" t="s">
        <v>2</v>
      </c>
      <c r="M6" s="33" t="s">
        <v>2</v>
      </c>
      <c r="N6" s="33" t="s">
        <v>2</v>
      </c>
      <c r="O6" s="32" t="s">
        <v>4</v>
      </c>
      <c r="P6" s="32" t="s">
        <v>3</v>
      </c>
      <c r="Q6" s="32" t="s">
        <v>3</v>
      </c>
      <c r="R6" s="32" t="s">
        <v>3</v>
      </c>
      <c r="S6" s="32" t="s">
        <v>4</v>
      </c>
      <c r="T6" s="34" t="s">
        <v>4</v>
      </c>
      <c r="U6" s="33" t="s">
        <v>1</v>
      </c>
      <c r="V6" s="32" t="s">
        <v>1</v>
      </c>
      <c r="W6" s="32" t="s">
        <v>4</v>
      </c>
      <c r="X6" s="32" t="s">
        <v>1</v>
      </c>
      <c r="Y6" s="32" t="s">
        <v>1</v>
      </c>
      <c r="Z6" s="32" t="s">
        <v>1</v>
      </c>
      <c r="AA6" s="34" t="s">
        <v>1</v>
      </c>
      <c r="AB6" s="34" t="s">
        <v>4</v>
      </c>
      <c r="AC6" s="32" t="s">
        <v>3</v>
      </c>
      <c r="AD6" s="32" t="s">
        <v>3</v>
      </c>
      <c r="AE6" s="32" t="s">
        <v>4</v>
      </c>
      <c r="AF6" s="32" t="s">
        <v>4</v>
      </c>
      <c r="AG6" s="34" t="s">
        <v>4</v>
      </c>
      <c r="AH6" s="34" t="s">
        <v>4</v>
      </c>
      <c r="AI6" s="35">
        <f>COUNTIF(D6:AH6,"D")</f>
        <v>6</v>
      </c>
      <c r="AJ6" s="35">
        <f>COUNTIF(D6:AH6,"E")</f>
        <v>6</v>
      </c>
      <c r="AK6" s="35">
        <f>COUNTIF(D6:AH6,"N")</f>
        <v>7</v>
      </c>
      <c r="AL6" s="36">
        <f>COUNTIF(D6:AH6,"O")</f>
        <v>12</v>
      </c>
    </row>
    <row r="7" spans="1:38" ht="12.6" customHeight="1" x14ac:dyDescent="0.3">
      <c r="A7" s="29"/>
      <c r="B7" s="134">
        <v>13</v>
      </c>
      <c r="C7" s="30" t="s">
        <v>32</v>
      </c>
      <c r="D7" s="31" t="s">
        <v>2</v>
      </c>
      <c r="E7" s="32" t="s">
        <v>4</v>
      </c>
      <c r="F7" s="33" t="s">
        <v>3</v>
      </c>
      <c r="G7" s="33" t="s">
        <v>3</v>
      </c>
      <c r="H7" s="33" t="s">
        <v>3</v>
      </c>
      <c r="I7" s="32" t="s">
        <v>4</v>
      </c>
      <c r="J7" s="32" t="s">
        <v>4</v>
      </c>
      <c r="K7" s="32" t="s">
        <v>1</v>
      </c>
      <c r="L7" s="33" t="s">
        <v>1</v>
      </c>
      <c r="M7" s="33" t="s">
        <v>2</v>
      </c>
      <c r="N7" s="33" t="s">
        <v>4</v>
      </c>
      <c r="O7" s="32" t="s">
        <v>3</v>
      </c>
      <c r="P7" s="32" t="s">
        <v>3</v>
      </c>
      <c r="Q7" s="32" t="s">
        <v>4</v>
      </c>
      <c r="R7" s="32" t="s">
        <v>4</v>
      </c>
      <c r="S7" s="32" t="s">
        <v>1</v>
      </c>
      <c r="T7" s="33" t="s">
        <v>1</v>
      </c>
      <c r="U7" s="33" t="s">
        <v>4</v>
      </c>
      <c r="V7" s="32" t="s">
        <v>4</v>
      </c>
      <c r="W7" s="32" t="s">
        <v>4</v>
      </c>
      <c r="X7" s="37" t="s">
        <v>14</v>
      </c>
      <c r="Y7" s="32" t="s">
        <v>2</v>
      </c>
      <c r="Z7" s="32" t="s">
        <v>2</v>
      </c>
      <c r="AA7" s="33" t="s">
        <v>3</v>
      </c>
      <c r="AB7" s="33" t="s">
        <v>3</v>
      </c>
      <c r="AC7" s="32" t="s">
        <v>4</v>
      </c>
      <c r="AD7" s="32" t="s">
        <v>4</v>
      </c>
      <c r="AE7" s="32" t="s">
        <v>1</v>
      </c>
      <c r="AF7" s="32" t="s">
        <v>1</v>
      </c>
      <c r="AG7" s="32" t="s">
        <v>1</v>
      </c>
      <c r="AH7" s="34" t="s">
        <v>4</v>
      </c>
      <c r="AI7" s="35">
        <f>COUNTIF(D7:AH7,"D")</f>
        <v>7</v>
      </c>
      <c r="AJ7" s="35">
        <f>COUNTIF(D7:AH7,"E")</f>
        <v>4</v>
      </c>
      <c r="AK7" s="35">
        <f>COUNTIF(D7:AH7,"N")</f>
        <v>7</v>
      </c>
      <c r="AL7" s="36">
        <f>COUNTIF(D7:AH7,"O")</f>
        <v>12</v>
      </c>
    </row>
    <row r="8" spans="1:38" ht="12.6" customHeight="1" thickBot="1" x14ac:dyDescent="0.35">
      <c r="A8" s="38"/>
      <c r="B8" s="135">
        <v>20</v>
      </c>
      <c r="C8" s="39" t="s">
        <v>32</v>
      </c>
      <c r="D8" s="40" t="s">
        <v>3</v>
      </c>
      <c r="E8" s="41" t="s">
        <v>3</v>
      </c>
      <c r="F8" s="42" t="s">
        <v>4</v>
      </c>
      <c r="G8" s="42" t="s">
        <v>4</v>
      </c>
      <c r="H8" s="42" t="s">
        <v>1</v>
      </c>
      <c r="I8" s="41" t="s">
        <v>1</v>
      </c>
      <c r="J8" s="41" t="s">
        <v>4</v>
      </c>
      <c r="K8" s="41" t="s">
        <v>3</v>
      </c>
      <c r="L8" s="42" t="s">
        <v>3</v>
      </c>
      <c r="M8" s="42" t="s">
        <v>3</v>
      </c>
      <c r="N8" s="42" t="s">
        <v>4</v>
      </c>
      <c r="O8" s="41" t="s">
        <v>4</v>
      </c>
      <c r="P8" s="41" t="s">
        <v>1</v>
      </c>
      <c r="Q8" s="41" t="s">
        <v>1</v>
      </c>
      <c r="R8" s="41" t="s">
        <v>1</v>
      </c>
      <c r="S8" s="41" t="s">
        <v>2</v>
      </c>
      <c r="T8" s="43" t="s">
        <v>4</v>
      </c>
      <c r="U8" s="43" t="s">
        <v>4</v>
      </c>
      <c r="V8" s="41" t="s">
        <v>2</v>
      </c>
      <c r="W8" s="41" t="s">
        <v>2</v>
      </c>
      <c r="X8" s="41" t="s">
        <v>2</v>
      </c>
      <c r="Y8" s="41" t="s">
        <v>3</v>
      </c>
      <c r="Z8" s="41" t="s">
        <v>3</v>
      </c>
      <c r="AA8" s="42" t="s">
        <v>4</v>
      </c>
      <c r="AB8" s="43" t="s">
        <v>4</v>
      </c>
      <c r="AC8" s="41" t="s">
        <v>2</v>
      </c>
      <c r="AD8" s="41" t="s">
        <v>2</v>
      </c>
      <c r="AE8" s="41" t="s">
        <v>4</v>
      </c>
      <c r="AF8" s="41" t="s">
        <v>4</v>
      </c>
      <c r="AG8" s="41" t="s">
        <v>1</v>
      </c>
      <c r="AH8" s="42" t="s">
        <v>2</v>
      </c>
      <c r="AI8" s="9">
        <f>COUNTIF(D8:AH8,"D")</f>
        <v>6</v>
      </c>
      <c r="AJ8" s="9">
        <f>COUNTIF(D8:AH8,"E")</f>
        <v>7</v>
      </c>
      <c r="AK8" s="9">
        <f>COUNTIF(D8:AH8,"N")</f>
        <v>7</v>
      </c>
      <c r="AL8" s="14">
        <f>COUNTIF(D8:AH8,"O")</f>
        <v>11</v>
      </c>
    </row>
    <row r="9" spans="1:38" ht="12.6" customHeight="1" x14ac:dyDescent="0.3">
      <c r="A9" s="23" t="s">
        <v>15</v>
      </c>
      <c r="B9" s="133">
        <v>23</v>
      </c>
      <c r="C9" s="24" t="s">
        <v>33</v>
      </c>
      <c r="D9" s="25" t="s">
        <v>4</v>
      </c>
      <c r="E9" s="26" t="s">
        <v>1</v>
      </c>
      <c r="F9" s="27" t="s">
        <v>1</v>
      </c>
      <c r="G9" s="27" t="s">
        <v>1</v>
      </c>
      <c r="H9" s="27" t="s">
        <v>4</v>
      </c>
      <c r="I9" s="26" t="s">
        <v>1</v>
      </c>
      <c r="J9" s="26" t="s">
        <v>1</v>
      </c>
      <c r="K9" s="26" t="s">
        <v>1</v>
      </c>
      <c r="L9" s="27" t="s">
        <v>4</v>
      </c>
      <c r="M9" s="27" t="s">
        <v>1</v>
      </c>
      <c r="N9" s="27" t="s">
        <v>1</v>
      </c>
      <c r="O9" s="26" t="s">
        <v>1</v>
      </c>
      <c r="P9" s="26" t="s">
        <v>4</v>
      </c>
      <c r="Q9" s="26" t="s">
        <v>1</v>
      </c>
      <c r="R9" s="26" t="s">
        <v>1</v>
      </c>
      <c r="S9" s="26" t="s">
        <v>1</v>
      </c>
      <c r="T9" s="28" t="s">
        <v>4</v>
      </c>
      <c r="U9" s="28" t="s">
        <v>4</v>
      </c>
      <c r="V9" s="26" t="s">
        <v>1</v>
      </c>
      <c r="W9" s="26" t="s">
        <v>1</v>
      </c>
      <c r="X9" s="26" t="s">
        <v>1</v>
      </c>
      <c r="Y9" s="26" t="s">
        <v>4</v>
      </c>
      <c r="Z9" s="26" t="s">
        <v>1</v>
      </c>
      <c r="AA9" s="27" t="s">
        <v>1</v>
      </c>
      <c r="AB9" s="27" t="s">
        <v>4</v>
      </c>
      <c r="AC9" s="26" t="s">
        <v>4</v>
      </c>
      <c r="AD9" s="28" t="s">
        <v>16</v>
      </c>
      <c r="AE9" s="26" t="s">
        <v>4</v>
      </c>
      <c r="AF9" s="26" t="s">
        <v>4</v>
      </c>
      <c r="AG9" s="26" t="s">
        <v>4</v>
      </c>
      <c r="AH9" s="27" t="s">
        <v>1</v>
      </c>
      <c r="AI9" s="2">
        <f t="shared" ref="AI9:AI17" si="0">COUNTIF(D9:AH9,"D")</f>
        <v>18</v>
      </c>
      <c r="AJ9" s="2">
        <f t="shared" ref="AJ9:AJ17" si="1">COUNTIF(D9:AH9,"E")</f>
        <v>0</v>
      </c>
      <c r="AK9" s="2">
        <f t="shared" ref="AK9:AK17" si="2">COUNTIF(D9:AH9,"N")</f>
        <v>0</v>
      </c>
      <c r="AL9" s="8">
        <f t="shared" ref="AL9:AL17" si="3">COUNTIF(D9:AH9,"O")</f>
        <v>13</v>
      </c>
    </row>
    <row r="10" spans="1:38" ht="12.6" customHeight="1" x14ac:dyDescent="0.3">
      <c r="A10" s="29"/>
      <c r="B10" s="134">
        <v>2</v>
      </c>
      <c r="C10" s="143" t="s">
        <v>34</v>
      </c>
      <c r="D10" s="31" t="s">
        <v>4</v>
      </c>
      <c r="E10" s="32" t="s">
        <v>2</v>
      </c>
      <c r="F10" s="33" t="s">
        <v>3</v>
      </c>
      <c r="G10" s="33" t="s">
        <v>3</v>
      </c>
      <c r="H10" s="33" t="s">
        <v>4</v>
      </c>
      <c r="I10" s="32" t="s">
        <v>4</v>
      </c>
      <c r="J10" s="32" t="s">
        <v>1</v>
      </c>
      <c r="K10" s="32" t="s">
        <v>1</v>
      </c>
      <c r="L10" s="34" t="s">
        <v>1</v>
      </c>
      <c r="M10" s="33" t="s">
        <v>3</v>
      </c>
      <c r="N10" s="33" t="s">
        <v>3</v>
      </c>
      <c r="O10" s="32" t="s">
        <v>4</v>
      </c>
      <c r="P10" s="34" t="s">
        <v>4</v>
      </c>
      <c r="Q10" s="34" t="s">
        <v>4</v>
      </c>
      <c r="R10" s="32" t="s">
        <v>2</v>
      </c>
      <c r="S10" s="32" t="s">
        <v>2</v>
      </c>
      <c r="T10" s="33" t="s">
        <v>2</v>
      </c>
      <c r="U10" s="34" t="s">
        <v>4</v>
      </c>
      <c r="V10" s="32" t="s">
        <v>3</v>
      </c>
      <c r="W10" s="32" t="s">
        <v>3</v>
      </c>
      <c r="X10" s="32" t="s">
        <v>3</v>
      </c>
      <c r="Y10" s="32" t="s">
        <v>4</v>
      </c>
      <c r="Z10" s="32" t="s">
        <v>4</v>
      </c>
      <c r="AA10" s="33" t="s">
        <v>1</v>
      </c>
      <c r="AB10" s="33" t="s">
        <v>1</v>
      </c>
      <c r="AC10" s="32" t="s">
        <v>2</v>
      </c>
      <c r="AD10" s="32" t="s">
        <v>2</v>
      </c>
      <c r="AE10" s="32" t="s">
        <v>4</v>
      </c>
      <c r="AF10" s="32" t="s">
        <v>2</v>
      </c>
      <c r="AG10" s="32" t="s">
        <v>2</v>
      </c>
      <c r="AH10" s="34" t="s">
        <v>4</v>
      </c>
      <c r="AI10" s="35">
        <f>COUNTIF(D10:AH10,"D")</f>
        <v>5</v>
      </c>
      <c r="AJ10" s="35">
        <f>COUNTIF(D10:AH10,"E")</f>
        <v>8</v>
      </c>
      <c r="AK10" s="35">
        <f>COUNTIF(D10:AH10,"N")</f>
        <v>7</v>
      </c>
      <c r="AL10" s="36">
        <f>COUNTIF(D10:AH10,"O")</f>
        <v>11</v>
      </c>
    </row>
    <row r="11" spans="1:38" ht="12.6" customHeight="1" x14ac:dyDescent="0.3">
      <c r="A11" s="29"/>
      <c r="B11" s="134">
        <v>3</v>
      </c>
      <c r="C11" s="30" t="s">
        <v>35</v>
      </c>
      <c r="D11" s="31" t="s">
        <v>1</v>
      </c>
      <c r="E11" s="32" t="s">
        <v>2</v>
      </c>
      <c r="F11" s="33" t="s">
        <v>4</v>
      </c>
      <c r="G11" s="33" t="s">
        <v>2</v>
      </c>
      <c r="H11" s="33" t="s">
        <v>2</v>
      </c>
      <c r="I11" s="32" t="s">
        <v>3</v>
      </c>
      <c r="J11" s="32" t="s">
        <v>3</v>
      </c>
      <c r="K11" s="32" t="s">
        <v>3</v>
      </c>
      <c r="L11" s="33" t="s">
        <v>4</v>
      </c>
      <c r="M11" s="33" t="s">
        <v>4</v>
      </c>
      <c r="N11" s="33" t="s">
        <v>1</v>
      </c>
      <c r="O11" s="34" t="s">
        <v>2</v>
      </c>
      <c r="P11" s="32" t="s">
        <v>4</v>
      </c>
      <c r="Q11" s="32" t="s">
        <v>2</v>
      </c>
      <c r="R11" s="32" t="s">
        <v>2</v>
      </c>
      <c r="S11" s="32" t="s">
        <v>4</v>
      </c>
      <c r="T11" s="33" t="s">
        <v>2</v>
      </c>
      <c r="U11" s="33" t="s">
        <v>2</v>
      </c>
      <c r="V11" s="32" t="s">
        <v>4</v>
      </c>
      <c r="W11" s="32" t="s">
        <v>3</v>
      </c>
      <c r="X11" s="32" t="s">
        <v>3</v>
      </c>
      <c r="Y11" s="32" t="s">
        <v>4</v>
      </c>
      <c r="Z11" s="32" t="s">
        <v>4</v>
      </c>
      <c r="AA11" s="34" t="s">
        <v>4</v>
      </c>
      <c r="AB11" s="34" t="s">
        <v>4</v>
      </c>
      <c r="AC11" s="32" t="s">
        <v>1</v>
      </c>
      <c r="AD11" s="32" t="s">
        <v>1</v>
      </c>
      <c r="AE11" s="32" t="s">
        <v>3</v>
      </c>
      <c r="AF11" s="32" t="s">
        <v>3</v>
      </c>
      <c r="AG11" s="32" t="s">
        <v>4</v>
      </c>
      <c r="AH11" s="34" t="s">
        <v>4</v>
      </c>
      <c r="AI11" s="35">
        <f>COUNTIF(D11:AH11,"D")</f>
        <v>4</v>
      </c>
      <c r="AJ11" s="35">
        <f>COUNTIF(D11:AH11,"E")</f>
        <v>8</v>
      </c>
      <c r="AK11" s="35">
        <f>COUNTIF(D11:AH11,"N")</f>
        <v>7</v>
      </c>
      <c r="AL11" s="36">
        <f>COUNTIF(D11:AH11,"O")</f>
        <v>12</v>
      </c>
    </row>
    <row r="12" spans="1:38" ht="12.6" customHeight="1" x14ac:dyDescent="0.3">
      <c r="A12" s="45"/>
      <c r="B12" s="134">
        <v>4</v>
      </c>
      <c r="C12" s="30" t="s">
        <v>36</v>
      </c>
      <c r="D12" s="31" t="s">
        <v>1</v>
      </c>
      <c r="E12" s="32" t="s">
        <v>2</v>
      </c>
      <c r="F12" s="33" t="s">
        <v>2</v>
      </c>
      <c r="G12" s="33" t="s">
        <v>4</v>
      </c>
      <c r="H12" s="33" t="s">
        <v>2</v>
      </c>
      <c r="I12" s="32" t="s">
        <v>2</v>
      </c>
      <c r="J12" s="32" t="s">
        <v>3</v>
      </c>
      <c r="K12" s="32" t="s">
        <v>3</v>
      </c>
      <c r="L12" s="33" t="s">
        <v>4</v>
      </c>
      <c r="M12" s="33" t="s">
        <v>4</v>
      </c>
      <c r="N12" s="33" t="s">
        <v>2</v>
      </c>
      <c r="O12" s="32" t="s">
        <v>2</v>
      </c>
      <c r="P12" s="32" t="s">
        <v>4</v>
      </c>
      <c r="Q12" s="32" t="s">
        <v>4</v>
      </c>
      <c r="R12" s="32" t="s">
        <v>2</v>
      </c>
      <c r="S12" s="32" t="s">
        <v>3</v>
      </c>
      <c r="T12" s="33" t="s">
        <v>3</v>
      </c>
      <c r="U12" s="33" t="s">
        <v>3</v>
      </c>
      <c r="V12" s="32" t="s">
        <v>4</v>
      </c>
      <c r="W12" s="32" t="s">
        <v>4</v>
      </c>
      <c r="X12" s="37" t="s">
        <v>14</v>
      </c>
      <c r="Y12" s="32" t="s">
        <v>1</v>
      </c>
      <c r="Z12" s="32" t="s">
        <v>1</v>
      </c>
      <c r="AA12" s="33" t="s">
        <v>1</v>
      </c>
      <c r="AB12" s="34" t="s">
        <v>1</v>
      </c>
      <c r="AC12" s="32" t="s">
        <v>4</v>
      </c>
      <c r="AD12" s="32" t="s">
        <v>4</v>
      </c>
      <c r="AE12" s="32" t="s">
        <v>4</v>
      </c>
      <c r="AF12" s="32" t="s">
        <v>4</v>
      </c>
      <c r="AG12" s="32" t="s">
        <v>3</v>
      </c>
      <c r="AH12" s="33" t="s">
        <v>3</v>
      </c>
      <c r="AI12" s="35">
        <f>COUNTIF(D12:AH12,"D")</f>
        <v>5</v>
      </c>
      <c r="AJ12" s="35">
        <f>COUNTIF(D12:AH12,"E")</f>
        <v>7</v>
      </c>
      <c r="AK12" s="35">
        <f>COUNTIF(D12:AH12,"N")</f>
        <v>7</v>
      </c>
      <c r="AL12" s="36">
        <f>COUNTIF(D12:AH12,"O")</f>
        <v>11</v>
      </c>
    </row>
    <row r="13" spans="1:38" ht="12.6" customHeight="1" x14ac:dyDescent="0.3">
      <c r="A13" s="29"/>
      <c r="B13" s="134">
        <v>27</v>
      </c>
      <c r="C13" s="30" t="s">
        <v>37</v>
      </c>
      <c r="D13" s="31" t="s">
        <v>4</v>
      </c>
      <c r="E13" s="32" t="s">
        <v>4</v>
      </c>
      <c r="F13" s="33" t="s">
        <v>1</v>
      </c>
      <c r="G13" s="33" t="s">
        <v>1</v>
      </c>
      <c r="H13" s="33" t="s">
        <v>2</v>
      </c>
      <c r="I13" s="32" t="s">
        <v>4</v>
      </c>
      <c r="J13" s="32" t="s">
        <v>2</v>
      </c>
      <c r="K13" s="32" t="s">
        <v>3</v>
      </c>
      <c r="L13" s="33" t="s">
        <v>3</v>
      </c>
      <c r="M13" s="33" t="s">
        <v>3</v>
      </c>
      <c r="N13" s="33" t="s">
        <v>4</v>
      </c>
      <c r="O13" s="34" t="s">
        <v>4</v>
      </c>
      <c r="P13" s="34" t="s">
        <v>4</v>
      </c>
      <c r="Q13" s="32" t="s">
        <v>2</v>
      </c>
      <c r="R13" s="32" t="s">
        <v>2</v>
      </c>
      <c r="S13" s="32" t="s">
        <v>2</v>
      </c>
      <c r="T13" s="33" t="s">
        <v>3</v>
      </c>
      <c r="U13" s="33" t="s">
        <v>3</v>
      </c>
      <c r="V13" s="32" t="s">
        <v>4</v>
      </c>
      <c r="W13" s="32" t="s">
        <v>4</v>
      </c>
      <c r="X13" s="32" t="s">
        <v>1</v>
      </c>
      <c r="Y13" s="32" t="s">
        <v>1</v>
      </c>
      <c r="Z13" s="32" t="s">
        <v>1</v>
      </c>
      <c r="AA13" s="33" t="s">
        <v>4</v>
      </c>
      <c r="AB13" s="33" t="s">
        <v>1</v>
      </c>
      <c r="AC13" s="32" t="s">
        <v>3</v>
      </c>
      <c r="AD13" s="32" t="s">
        <v>3</v>
      </c>
      <c r="AE13" s="32" t="s">
        <v>4</v>
      </c>
      <c r="AF13" s="32" t="s">
        <v>4</v>
      </c>
      <c r="AG13" s="32" t="s">
        <v>1</v>
      </c>
      <c r="AH13" s="33" t="s">
        <v>1</v>
      </c>
      <c r="AI13" s="35">
        <f>COUNTIF(D13:AH13,"D")</f>
        <v>8</v>
      </c>
      <c r="AJ13" s="35">
        <f>COUNTIF(D13:AH13,"E")</f>
        <v>5</v>
      </c>
      <c r="AK13" s="35">
        <f>COUNTIF(D13:AH13,"N")</f>
        <v>7</v>
      </c>
      <c r="AL13" s="36">
        <f>COUNTIF(D13:AH13,"O")</f>
        <v>11</v>
      </c>
    </row>
    <row r="14" spans="1:38" ht="12.6" customHeight="1" thickBot="1" x14ac:dyDescent="0.35">
      <c r="A14" s="46"/>
      <c r="B14" s="136">
        <v>7</v>
      </c>
      <c r="C14" s="47" t="s">
        <v>38</v>
      </c>
      <c r="D14" s="48" t="s">
        <v>3</v>
      </c>
      <c r="E14" s="49" t="s">
        <v>3</v>
      </c>
      <c r="F14" s="50" t="s">
        <v>4</v>
      </c>
      <c r="G14" s="50" t="s">
        <v>4</v>
      </c>
      <c r="H14" s="50" t="s">
        <v>1</v>
      </c>
      <c r="I14" s="49" t="s">
        <v>1</v>
      </c>
      <c r="J14" s="49" t="s">
        <v>4</v>
      </c>
      <c r="K14" s="49" t="s">
        <v>4</v>
      </c>
      <c r="L14" s="50" t="s">
        <v>1</v>
      </c>
      <c r="M14" s="50" t="s">
        <v>1</v>
      </c>
      <c r="N14" s="50" t="s">
        <v>2</v>
      </c>
      <c r="O14" s="49" t="s">
        <v>4</v>
      </c>
      <c r="P14" s="51" t="s">
        <v>14</v>
      </c>
      <c r="Q14" s="49" t="s">
        <v>3</v>
      </c>
      <c r="R14" s="49" t="s">
        <v>3</v>
      </c>
      <c r="S14" s="49" t="s">
        <v>4</v>
      </c>
      <c r="T14" s="50" t="s">
        <v>4</v>
      </c>
      <c r="U14" s="50" t="s">
        <v>1</v>
      </c>
      <c r="V14" s="49" t="s">
        <v>1</v>
      </c>
      <c r="W14" s="49" t="s">
        <v>4</v>
      </c>
      <c r="X14" s="49" t="s">
        <v>2</v>
      </c>
      <c r="Y14" s="49" t="s">
        <v>2</v>
      </c>
      <c r="Z14" s="49" t="s">
        <v>3</v>
      </c>
      <c r="AA14" s="50" t="s">
        <v>3</v>
      </c>
      <c r="AB14" s="50" t="s">
        <v>3</v>
      </c>
      <c r="AC14" s="49" t="s">
        <v>4</v>
      </c>
      <c r="AD14" s="49" t="s">
        <v>4</v>
      </c>
      <c r="AE14" s="49" t="s">
        <v>1</v>
      </c>
      <c r="AF14" s="49" t="s">
        <v>1</v>
      </c>
      <c r="AG14" s="49" t="s">
        <v>2</v>
      </c>
      <c r="AH14" s="50" t="s">
        <v>4</v>
      </c>
      <c r="AI14" s="52">
        <f t="shared" si="0"/>
        <v>8</v>
      </c>
      <c r="AJ14" s="52">
        <f t="shared" si="1"/>
        <v>4</v>
      </c>
      <c r="AK14" s="52">
        <f t="shared" si="2"/>
        <v>7</v>
      </c>
      <c r="AL14" s="53">
        <f t="shared" si="3"/>
        <v>11</v>
      </c>
    </row>
    <row r="15" spans="1:38" ht="12.6" customHeight="1" x14ac:dyDescent="0.3">
      <c r="A15" s="23" t="s">
        <v>13</v>
      </c>
      <c r="B15" s="133">
        <v>1</v>
      </c>
      <c r="C15" s="24" t="s">
        <v>39</v>
      </c>
      <c r="D15" s="25" t="s">
        <v>1</v>
      </c>
      <c r="E15" s="26" t="s">
        <v>1</v>
      </c>
      <c r="F15" s="27" t="s">
        <v>1</v>
      </c>
      <c r="G15" s="28" t="s">
        <v>1</v>
      </c>
      <c r="H15" s="28" t="s">
        <v>4</v>
      </c>
      <c r="I15" s="28" t="s">
        <v>4</v>
      </c>
      <c r="J15" s="28" t="s">
        <v>4</v>
      </c>
      <c r="K15" s="28" t="s">
        <v>2</v>
      </c>
      <c r="L15" s="27" t="s">
        <v>3</v>
      </c>
      <c r="M15" s="27" t="s">
        <v>3</v>
      </c>
      <c r="N15" s="27" t="s">
        <v>4</v>
      </c>
      <c r="O15" s="26" t="s">
        <v>4</v>
      </c>
      <c r="P15" s="26" t="s">
        <v>2</v>
      </c>
      <c r="Q15" s="26" t="s">
        <v>2</v>
      </c>
      <c r="R15" s="26" t="s">
        <v>2</v>
      </c>
      <c r="S15" s="26" t="s">
        <v>4</v>
      </c>
      <c r="T15" s="27" t="s">
        <v>2</v>
      </c>
      <c r="U15" s="27" t="s">
        <v>3</v>
      </c>
      <c r="V15" s="26" t="s">
        <v>3</v>
      </c>
      <c r="W15" s="26" t="s">
        <v>4</v>
      </c>
      <c r="X15" s="26" t="s">
        <v>4</v>
      </c>
      <c r="Y15" s="26" t="s">
        <v>2</v>
      </c>
      <c r="Z15" s="26" t="s">
        <v>2</v>
      </c>
      <c r="AA15" s="27" t="s">
        <v>2</v>
      </c>
      <c r="AB15" s="27" t="s">
        <v>2</v>
      </c>
      <c r="AC15" s="26" t="s">
        <v>4</v>
      </c>
      <c r="AD15" s="26" t="s">
        <v>4</v>
      </c>
      <c r="AE15" s="26" t="s">
        <v>4</v>
      </c>
      <c r="AF15" s="26" t="s">
        <v>3</v>
      </c>
      <c r="AG15" s="26" t="s">
        <v>3</v>
      </c>
      <c r="AH15" s="27" t="s">
        <v>3</v>
      </c>
      <c r="AI15" s="2">
        <f>COUNTIF(D15:AH15,"D")</f>
        <v>4</v>
      </c>
      <c r="AJ15" s="2">
        <f>COUNTIF(D15:AH15,"E")</f>
        <v>9</v>
      </c>
      <c r="AK15" s="2">
        <f>COUNTIF(D15:AH15,"N")</f>
        <v>7</v>
      </c>
      <c r="AL15" s="8">
        <f>COUNTIF(D15:AH15,"O")</f>
        <v>11</v>
      </c>
    </row>
    <row r="16" spans="1:38" ht="12.6" customHeight="1" x14ac:dyDescent="0.3">
      <c r="A16" s="29"/>
      <c r="B16" s="134">
        <v>8</v>
      </c>
      <c r="C16" s="143" t="s">
        <v>40</v>
      </c>
      <c r="D16" s="31" t="s">
        <v>3</v>
      </c>
      <c r="E16" s="32" t="s">
        <v>3</v>
      </c>
      <c r="F16" s="34" t="s">
        <v>4</v>
      </c>
      <c r="G16" s="34" t="s">
        <v>4</v>
      </c>
      <c r="H16" s="34" t="s">
        <v>4</v>
      </c>
      <c r="I16" s="32" t="s">
        <v>2</v>
      </c>
      <c r="J16" s="32" t="s">
        <v>2</v>
      </c>
      <c r="K16" s="32" t="s">
        <v>2</v>
      </c>
      <c r="L16" s="33" t="s">
        <v>3</v>
      </c>
      <c r="M16" s="33" t="s">
        <v>3</v>
      </c>
      <c r="N16" s="33" t="s">
        <v>4</v>
      </c>
      <c r="O16" s="32" t="s">
        <v>4</v>
      </c>
      <c r="P16" s="32" t="s">
        <v>1</v>
      </c>
      <c r="Q16" s="32" t="s">
        <v>1</v>
      </c>
      <c r="R16" s="32" t="s">
        <v>4</v>
      </c>
      <c r="S16" s="32" t="s">
        <v>4</v>
      </c>
      <c r="T16" s="34" t="s">
        <v>4</v>
      </c>
      <c r="U16" s="33" t="s">
        <v>1</v>
      </c>
      <c r="V16" s="32" t="s">
        <v>2</v>
      </c>
      <c r="W16" s="32" t="s">
        <v>2</v>
      </c>
      <c r="X16" s="32" t="s">
        <v>3</v>
      </c>
      <c r="Y16" s="32" t="s">
        <v>3</v>
      </c>
      <c r="Z16" s="32" t="s">
        <v>4</v>
      </c>
      <c r="AA16" s="34" t="s">
        <v>4</v>
      </c>
      <c r="AB16" s="34" t="s">
        <v>4</v>
      </c>
      <c r="AC16" s="34" t="s">
        <v>4</v>
      </c>
      <c r="AD16" s="54" t="s">
        <v>17</v>
      </c>
      <c r="AE16" s="32" t="s">
        <v>2</v>
      </c>
      <c r="AF16" s="32" t="s">
        <v>2</v>
      </c>
      <c r="AG16" s="32" t="s">
        <v>2</v>
      </c>
      <c r="AH16" s="33" t="s">
        <v>3</v>
      </c>
      <c r="AI16" s="35">
        <f t="shared" si="0"/>
        <v>4</v>
      </c>
      <c r="AJ16" s="35">
        <f t="shared" si="1"/>
        <v>8</v>
      </c>
      <c r="AK16" s="35">
        <f t="shared" si="2"/>
        <v>7</v>
      </c>
      <c r="AL16" s="36">
        <f t="shared" si="3"/>
        <v>12</v>
      </c>
    </row>
    <row r="17" spans="1:38" ht="12.6" customHeight="1" x14ac:dyDescent="0.3">
      <c r="A17" s="29"/>
      <c r="B17" s="134">
        <v>29</v>
      </c>
      <c r="C17" s="143" t="s">
        <v>41</v>
      </c>
      <c r="D17" s="31"/>
      <c r="E17" s="32"/>
      <c r="F17" s="33" t="s">
        <v>4</v>
      </c>
      <c r="G17" s="33" t="s">
        <v>4</v>
      </c>
      <c r="H17" s="33" t="s">
        <v>4</v>
      </c>
      <c r="I17" s="32"/>
      <c r="J17" s="32"/>
      <c r="K17" s="32"/>
      <c r="L17" s="33" t="s">
        <v>4</v>
      </c>
      <c r="M17" s="33" t="s">
        <v>4</v>
      </c>
      <c r="N17" s="33" t="s">
        <v>4</v>
      </c>
      <c r="O17" s="32"/>
      <c r="P17" s="32"/>
      <c r="Q17" s="32"/>
      <c r="R17" s="32"/>
      <c r="S17" s="32"/>
      <c r="T17" s="33" t="s">
        <v>4</v>
      </c>
      <c r="U17" s="33" t="s">
        <v>4</v>
      </c>
      <c r="V17" s="32"/>
      <c r="W17" s="32"/>
      <c r="X17" s="32"/>
      <c r="Y17" s="32"/>
      <c r="Z17" s="32"/>
      <c r="AA17" s="33" t="s">
        <v>4</v>
      </c>
      <c r="AB17" s="33" t="s">
        <v>4</v>
      </c>
      <c r="AC17" s="32" t="s">
        <v>4</v>
      </c>
      <c r="AD17" s="32" t="s">
        <v>18</v>
      </c>
      <c r="AE17" s="32" t="s">
        <v>19</v>
      </c>
      <c r="AF17" s="32" t="s">
        <v>19</v>
      </c>
      <c r="AG17" s="32" t="s">
        <v>19</v>
      </c>
      <c r="AH17" s="33" t="s">
        <v>20</v>
      </c>
      <c r="AI17" s="35">
        <f t="shared" si="0"/>
        <v>0</v>
      </c>
      <c r="AJ17" s="35">
        <f t="shared" si="1"/>
        <v>0</v>
      </c>
      <c r="AK17" s="35">
        <f t="shared" si="2"/>
        <v>0</v>
      </c>
      <c r="AL17" s="36">
        <f t="shared" si="3"/>
        <v>11</v>
      </c>
    </row>
    <row r="18" spans="1:38" ht="12.6" customHeight="1" x14ac:dyDescent="0.3">
      <c r="A18" s="45"/>
      <c r="B18" s="134">
        <v>21</v>
      </c>
      <c r="C18" s="30" t="s">
        <v>36</v>
      </c>
      <c r="D18" s="31" t="s">
        <v>4</v>
      </c>
      <c r="E18" s="32" t="s">
        <v>4</v>
      </c>
      <c r="F18" s="33" t="s">
        <v>4</v>
      </c>
      <c r="G18" s="33" t="s">
        <v>4</v>
      </c>
      <c r="H18" s="33" t="s">
        <v>1</v>
      </c>
      <c r="I18" s="32" t="s">
        <v>1</v>
      </c>
      <c r="J18" s="32" t="s">
        <v>3</v>
      </c>
      <c r="K18" s="32" t="s">
        <v>3</v>
      </c>
      <c r="L18" s="33" t="s">
        <v>3</v>
      </c>
      <c r="M18" s="33" t="s">
        <v>4</v>
      </c>
      <c r="N18" s="33" t="s">
        <v>4</v>
      </c>
      <c r="O18" s="32" t="s">
        <v>2</v>
      </c>
      <c r="P18" s="32" t="s">
        <v>2</v>
      </c>
      <c r="Q18" s="32" t="s">
        <v>2</v>
      </c>
      <c r="R18" s="32" t="s">
        <v>4</v>
      </c>
      <c r="S18" s="32" t="s">
        <v>3</v>
      </c>
      <c r="T18" s="33" t="s">
        <v>3</v>
      </c>
      <c r="U18" s="33" t="s">
        <v>4</v>
      </c>
      <c r="V18" s="32" t="s">
        <v>4</v>
      </c>
      <c r="W18" s="32" t="s">
        <v>1</v>
      </c>
      <c r="X18" s="32" t="s">
        <v>2</v>
      </c>
      <c r="Y18" s="32" t="s">
        <v>2</v>
      </c>
      <c r="Z18" s="32" t="s">
        <v>3</v>
      </c>
      <c r="AA18" s="33" t="s">
        <v>3</v>
      </c>
      <c r="AB18" s="33" t="s">
        <v>4</v>
      </c>
      <c r="AC18" s="32" t="s">
        <v>4</v>
      </c>
      <c r="AD18" s="32" t="s">
        <v>1</v>
      </c>
      <c r="AE18" s="32" t="s">
        <v>1</v>
      </c>
      <c r="AF18" s="32" t="s">
        <v>1</v>
      </c>
      <c r="AG18" s="32" t="s">
        <v>4</v>
      </c>
      <c r="AH18" s="33" t="s">
        <v>1</v>
      </c>
      <c r="AI18" s="35">
        <f>COUNTIF(D18:AH18,"D")</f>
        <v>7</v>
      </c>
      <c r="AJ18" s="35">
        <f>COUNTIF(D18:AH18,"E")</f>
        <v>5</v>
      </c>
      <c r="AK18" s="35">
        <f>COUNTIF(D18:AH18,"N")</f>
        <v>7</v>
      </c>
      <c r="AL18" s="36">
        <f>COUNTIF(D18:AH18,"O")</f>
        <v>12</v>
      </c>
    </row>
    <row r="19" spans="1:38" ht="12.6" customHeight="1" x14ac:dyDescent="0.3">
      <c r="A19" s="29"/>
      <c r="B19" s="134">
        <v>10</v>
      </c>
      <c r="C19" s="30" t="s">
        <v>36</v>
      </c>
      <c r="D19" s="31" t="s">
        <v>4</v>
      </c>
      <c r="E19" s="32" t="s">
        <v>4</v>
      </c>
      <c r="F19" s="33" t="s">
        <v>1</v>
      </c>
      <c r="G19" s="33" t="s">
        <v>1</v>
      </c>
      <c r="H19" s="33" t="s">
        <v>4</v>
      </c>
      <c r="I19" s="32" t="s">
        <v>2</v>
      </c>
      <c r="J19" s="32" t="s">
        <v>2</v>
      </c>
      <c r="K19" s="32" t="s">
        <v>2</v>
      </c>
      <c r="L19" s="34" t="s">
        <v>4</v>
      </c>
      <c r="M19" s="34" t="s">
        <v>4</v>
      </c>
      <c r="N19" s="33" t="s">
        <v>3</v>
      </c>
      <c r="O19" s="32" t="s">
        <v>3</v>
      </c>
      <c r="P19" s="32" t="s">
        <v>4</v>
      </c>
      <c r="Q19" s="32" t="s">
        <v>4</v>
      </c>
      <c r="R19" s="32" t="s">
        <v>1</v>
      </c>
      <c r="S19" s="32" t="s">
        <v>2</v>
      </c>
      <c r="T19" s="33" t="s">
        <v>4</v>
      </c>
      <c r="U19" s="33" t="s">
        <v>3</v>
      </c>
      <c r="V19" s="32" t="s">
        <v>3</v>
      </c>
      <c r="W19" s="32" t="s">
        <v>3</v>
      </c>
      <c r="X19" s="32" t="s">
        <v>4</v>
      </c>
      <c r="Y19" s="32" t="s">
        <v>4</v>
      </c>
      <c r="Z19" s="32" t="s">
        <v>2</v>
      </c>
      <c r="AA19" s="33" t="s">
        <v>2</v>
      </c>
      <c r="AB19" s="33" t="s">
        <v>2</v>
      </c>
      <c r="AC19" s="32" t="s">
        <v>4</v>
      </c>
      <c r="AD19" s="32" t="s">
        <v>3</v>
      </c>
      <c r="AE19" s="32" t="s">
        <v>3</v>
      </c>
      <c r="AF19" s="32" t="s">
        <v>4</v>
      </c>
      <c r="AG19" s="32" t="s">
        <v>4</v>
      </c>
      <c r="AH19" s="34" t="s">
        <v>4</v>
      </c>
      <c r="AI19" s="35">
        <f>COUNTIF(D19:AH19,"D")</f>
        <v>3</v>
      </c>
      <c r="AJ19" s="35">
        <f>COUNTIF(D19:AH19,"E")</f>
        <v>7</v>
      </c>
      <c r="AK19" s="35">
        <f>COUNTIF(D19:AH19,"N")</f>
        <v>7</v>
      </c>
      <c r="AL19" s="36">
        <f>COUNTIF(D19:AH19,"O")</f>
        <v>14</v>
      </c>
    </row>
    <row r="20" spans="1:38" ht="12.6" customHeight="1" thickBot="1" x14ac:dyDescent="0.35">
      <c r="A20" s="38"/>
      <c r="B20" s="135">
        <v>22</v>
      </c>
      <c r="C20" s="39" t="s">
        <v>38</v>
      </c>
      <c r="D20" s="40" t="s">
        <v>2</v>
      </c>
      <c r="E20" s="41" t="s">
        <v>4</v>
      </c>
      <c r="F20" s="42" t="s">
        <v>3</v>
      </c>
      <c r="G20" s="42" t="s">
        <v>3</v>
      </c>
      <c r="H20" s="42" t="s">
        <v>4</v>
      </c>
      <c r="I20" s="41" t="s">
        <v>4</v>
      </c>
      <c r="J20" s="41" t="s">
        <v>1</v>
      </c>
      <c r="K20" s="41" t="s">
        <v>2</v>
      </c>
      <c r="L20" s="42" t="s">
        <v>2</v>
      </c>
      <c r="M20" s="42" t="s">
        <v>2</v>
      </c>
      <c r="N20" s="42" t="s">
        <v>4</v>
      </c>
      <c r="O20" s="41" t="s">
        <v>4</v>
      </c>
      <c r="P20" s="41" t="s">
        <v>1</v>
      </c>
      <c r="Q20" s="41" t="s">
        <v>1</v>
      </c>
      <c r="R20" s="41" t="s">
        <v>1</v>
      </c>
      <c r="S20" s="41" t="s">
        <v>3</v>
      </c>
      <c r="T20" s="42" t="s">
        <v>3</v>
      </c>
      <c r="U20" s="42" t="s">
        <v>4</v>
      </c>
      <c r="V20" s="41" t="s">
        <v>4</v>
      </c>
      <c r="W20" s="41" t="s">
        <v>1</v>
      </c>
      <c r="X20" s="41" t="s">
        <v>1</v>
      </c>
      <c r="Y20" s="55" t="s">
        <v>14</v>
      </c>
      <c r="Z20" s="41" t="s">
        <v>2</v>
      </c>
      <c r="AA20" s="42" t="s">
        <v>2</v>
      </c>
      <c r="AB20" s="42" t="s">
        <v>4</v>
      </c>
      <c r="AC20" s="41" t="s">
        <v>4</v>
      </c>
      <c r="AD20" s="41" t="s">
        <v>4</v>
      </c>
      <c r="AE20" s="41" t="s">
        <v>2</v>
      </c>
      <c r="AF20" s="41" t="s">
        <v>3</v>
      </c>
      <c r="AG20" s="41" t="s">
        <v>3</v>
      </c>
      <c r="AH20" s="42" t="s">
        <v>4</v>
      </c>
      <c r="AI20" s="9">
        <f>COUNTIF(D20:AH20,"D")</f>
        <v>6</v>
      </c>
      <c r="AJ20" s="9">
        <f>COUNTIF(D20:AH20,"E")</f>
        <v>7</v>
      </c>
      <c r="AK20" s="9">
        <f>COUNTIF(D20:AH20,"N")</f>
        <v>6</v>
      </c>
      <c r="AL20" s="14">
        <f>COUNTIF(D20:AH20,"O")</f>
        <v>11</v>
      </c>
    </row>
    <row r="21" spans="1:38" ht="12.6" customHeight="1" x14ac:dyDescent="0.3">
      <c r="A21" s="56" t="s">
        <v>1</v>
      </c>
      <c r="B21" s="137">
        <v>11</v>
      </c>
      <c r="C21" s="144" t="s">
        <v>30</v>
      </c>
      <c r="D21" s="57" t="s">
        <v>3</v>
      </c>
      <c r="E21" s="58" t="s">
        <v>3</v>
      </c>
      <c r="F21" s="59" t="s">
        <v>3</v>
      </c>
      <c r="G21" s="59" t="s">
        <v>4</v>
      </c>
      <c r="H21" s="59" t="s">
        <v>4</v>
      </c>
      <c r="I21" s="58" t="s">
        <v>1</v>
      </c>
      <c r="J21" s="58" t="s">
        <v>2</v>
      </c>
      <c r="K21" s="58" t="s">
        <v>2</v>
      </c>
      <c r="L21" s="59" t="s">
        <v>2</v>
      </c>
      <c r="M21" s="60" t="s">
        <v>4</v>
      </c>
      <c r="N21" s="60" t="s">
        <v>4</v>
      </c>
      <c r="O21" s="58" t="s">
        <v>1</v>
      </c>
      <c r="P21" s="58" t="s">
        <v>1</v>
      </c>
      <c r="Q21" s="58" t="s">
        <v>4</v>
      </c>
      <c r="R21" s="58" t="s">
        <v>1</v>
      </c>
      <c r="S21" s="61" t="s">
        <v>18</v>
      </c>
      <c r="T21" s="59" t="s">
        <v>3</v>
      </c>
      <c r="U21" s="59" t="s">
        <v>3</v>
      </c>
      <c r="V21" s="58" t="s">
        <v>4</v>
      </c>
      <c r="W21" s="58" t="s">
        <v>4</v>
      </c>
      <c r="X21" s="61" t="s">
        <v>18</v>
      </c>
      <c r="Y21" s="58" t="s">
        <v>1</v>
      </c>
      <c r="Z21" s="62" t="s">
        <v>14</v>
      </c>
      <c r="AA21" s="59" t="s">
        <v>3</v>
      </c>
      <c r="AB21" s="59" t="s">
        <v>3</v>
      </c>
      <c r="AC21" s="58" t="s">
        <v>4</v>
      </c>
      <c r="AD21" s="58" t="s">
        <v>4</v>
      </c>
      <c r="AE21" s="58" t="s">
        <v>2</v>
      </c>
      <c r="AF21" s="58" t="s">
        <v>2</v>
      </c>
      <c r="AG21" s="58" t="s">
        <v>4</v>
      </c>
      <c r="AH21" s="60" t="s">
        <v>4</v>
      </c>
      <c r="AI21" s="63">
        <f t="shared" ref="AI21:AI30" si="4">COUNTIF(D21:AH21,"D")</f>
        <v>5</v>
      </c>
      <c r="AJ21" s="63">
        <f t="shared" ref="AJ21:AJ30" si="5">COUNTIF(D21:AH21,"E")</f>
        <v>5</v>
      </c>
      <c r="AK21" s="63">
        <f t="shared" ref="AK21:AK30" si="6">COUNTIF(D21:AH21,"N")</f>
        <v>7</v>
      </c>
      <c r="AL21" s="64">
        <f t="shared" ref="AL21:AL31" si="7">COUNTIF(D21:AH21,"O")</f>
        <v>11</v>
      </c>
    </row>
    <row r="22" spans="1:38" ht="12.6" customHeight="1" x14ac:dyDescent="0.3">
      <c r="A22" s="29"/>
      <c r="B22" s="134">
        <v>12</v>
      </c>
      <c r="C22" s="143" t="s">
        <v>42</v>
      </c>
      <c r="D22" s="31" t="s">
        <v>20</v>
      </c>
      <c r="E22" s="32" t="s">
        <v>20</v>
      </c>
      <c r="F22" s="33" t="s">
        <v>20</v>
      </c>
      <c r="G22" s="33" t="s">
        <v>4</v>
      </c>
      <c r="H22" s="33" t="s">
        <v>4</v>
      </c>
      <c r="I22" s="32" t="s">
        <v>18</v>
      </c>
      <c r="J22" s="32" t="s">
        <v>19</v>
      </c>
      <c r="K22" s="32" t="s">
        <v>19</v>
      </c>
      <c r="L22" s="33" t="s">
        <v>19</v>
      </c>
      <c r="M22" s="33" t="s">
        <v>4</v>
      </c>
      <c r="N22" s="33" t="s">
        <v>4</v>
      </c>
      <c r="O22" s="32" t="s">
        <v>18</v>
      </c>
      <c r="P22" s="32" t="s">
        <v>18</v>
      </c>
      <c r="Q22" s="32" t="s">
        <v>4</v>
      </c>
      <c r="R22" s="32" t="s">
        <v>18</v>
      </c>
      <c r="S22" s="37" t="s">
        <v>21</v>
      </c>
      <c r="T22" s="33" t="s">
        <v>20</v>
      </c>
      <c r="U22" s="33" t="s">
        <v>20</v>
      </c>
      <c r="V22" s="32" t="s">
        <v>4</v>
      </c>
      <c r="W22" s="32" t="s">
        <v>4</v>
      </c>
      <c r="X22" s="54" t="s">
        <v>18</v>
      </c>
      <c r="Y22" s="32" t="s">
        <v>18</v>
      </c>
      <c r="Z22" s="32" t="s">
        <v>4</v>
      </c>
      <c r="AA22" s="33" t="s">
        <v>20</v>
      </c>
      <c r="AB22" s="33" t="s">
        <v>20</v>
      </c>
      <c r="AC22" s="32" t="s">
        <v>4</v>
      </c>
      <c r="AD22" s="32" t="s">
        <v>4</v>
      </c>
      <c r="AE22" s="32" t="s">
        <v>19</v>
      </c>
      <c r="AF22" s="32" t="s">
        <v>19</v>
      </c>
      <c r="AG22" s="32" t="s">
        <v>4</v>
      </c>
      <c r="AH22" s="33" t="s">
        <v>4</v>
      </c>
      <c r="AI22" s="35">
        <f t="shared" si="4"/>
        <v>0</v>
      </c>
      <c r="AJ22" s="35">
        <f t="shared" si="5"/>
        <v>0</v>
      </c>
      <c r="AK22" s="35">
        <f t="shared" si="6"/>
        <v>0</v>
      </c>
      <c r="AL22" s="36">
        <f t="shared" si="7"/>
        <v>12</v>
      </c>
    </row>
    <row r="23" spans="1:38" ht="12.6" customHeight="1" x14ac:dyDescent="0.3">
      <c r="A23" s="29"/>
      <c r="B23" s="134">
        <v>24</v>
      </c>
      <c r="C23" s="143" t="s">
        <v>39</v>
      </c>
      <c r="D23" s="31" t="s">
        <v>2</v>
      </c>
      <c r="E23" s="32" t="s">
        <v>2</v>
      </c>
      <c r="F23" s="33" t="s">
        <v>2</v>
      </c>
      <c r="G23" s="33" t="s">
        <v>3</v>
      </c>
      <c r="H23" s="33" t="s">
        <v>3</v>
      </c>
      <c r="I23" s="32" t="s">
        <v>4</v>
      </c>
      <c r="J23" s="32" t="s">
        <v>4</v>
      </c>
      <c r="K23" s="32" t="s">
        <v>4</v>
      </c>
      <c r="L23" s="33" t="s">
        <v>1</v>
      </c>
      <c r="M23" s="33" t="s">
        <v>1</v>
      </c>
      <c r="N23" s="33" t="s">
        <v>3</v>
      </c>
      <c r="O23" s="32" t="s">
        <v>3</v>
      </c>
      <c r="P23" s="32" t="s">
        <v>3</v>
      </c>
      <c r="Q23" s="32" t="s">
        <v>4</v>
      </c>
      <c r="R23" s="32" t="s">
        <v>4</v>
      </c>
      <c r="S23" s="37" t="s">
        <v>14</v>
      </c>
      <c r="T23" s="33" t="s">
        <v>1</v>
      </c>
      <c r="U23" s="34" t="s">
        <v>4</v>
      </c>
      <c r="V23" s="34" t="s">
        <v>4</v>
      </c>
      <c r="W23" s="34" t="s">
        <v>4</v>
      </c>
      <c r="X23" s="34" t="s">
        <v>4</v>
      </c>
      <c r="Y23" s="34" t="s">
        <v>4</v>
      </c>
      <c r="Z23" s="32" t="s">
        <v>3</v>
      </c>
      <c r="AA23" s="33" t="s">
        <v>3</v>
      </c>
      <c r="AB23" s="33" t="s">
        <v>4</v>
      </c>
      <c r="AC23" s="32" t="s">
        <v>4</v>
      </c>
      <c r="AD23" s="32" t="s">
        <v>2</v>
      </c>
      <c r="AE23" s="32" t="s">
        <v>2</v>
      </c>
      <c r="AF23" s="32" t="s">
        <v>2</v>
      </c>
      <c r="AG23" s="32" t="s">
        <v>2</v>
      </c>
      <c r="AH23" s="33" t="s">
        <v>2</v>
      </c>
      <c r="AI23" s="35">
        <f>COUNTIF(D23:AH23,"D")</f>
        <v>3</v>
      </c>
      <c r="AJ23" s="35">
        <f>COUNTIF(D23:AH23,"E")</f>
        <v>8</v>
      </c>
      <c r="AK23" s="35">
        <f>COUNTIF(D23:AH23,"N")</f>
        <v>7</v>
      </c>
      <c r="AL23" s="36">
        <f>COUNTIF(D23:AH23,"O")</f>
        <v>12</v>
      </c>
    </row>
    <row r="24" spans="1:38" ht="12.6" customHeight="1" x14ac:dyDescent="0.3">
      <c r="A24" s="29"/>
      <c r="B24" s="134">
        <v>16</v>
      </c>
      <c r="C24" s="143" t="s">
        <v>34</v>
      </c>
      <c r="D24" s="65" t="s">
        <v>4</v>
      </c>
      <c r="E24" s="34" t="s">
        <v>4</v>
      </c>
      <c r="F24" s="34" t="s">
        <v>2</v>
      </c>
      <c r="G24" s="33" t="s">
        <v>2</v>
      </c>
      <c r="H24" s="34" t="s">
        <v>4</v>
      </c>
      <c r="I24" s="32" t="s">
        <v>3</v>
      </c>
      <c r="J24" s="32" t="s">
        <v>3</v>
      </c>
      <c r="K24" s="32" t="s">
        <v>4</v>
      </c>
      <c r="L24" s="34" t="s">
        <v>4</v>
      </c>
      <c r="M24" s="34" t="s">
        <v>4</v>
      </c>
      <c r="N24" s="33" t="s">
        <v>1</v>
      </c>
      <c r="O24" s="32" t="s">
        <v>1</v>
      </c>
      <c r="P24" s="32" t="s">
        <v>1</v>
      </c>
      <c r="Q24" s="32" t="s">
        <v>1</v>
      </c>
      <c r="R24" s="34" t="s">
        <v>4</v>
      </c>
      <c r="S24" s="32" t="s">
        <v>1</v>
      </c>
      <c r="T24" s="34" t="s">
        <v>1</v>
      </c>
      <c r="U24" s="34" t="s">
        <v>2</v>
      </c>
      <c r="V24" s="32" t="s">
        <v>3</v>
      </c>
      <c r="W24" s="32" t="s">
        <v>3</v>
      </c>
      <c r="X24" s="32" t="s">
        <v>4</v>
      </c>
      <c r="Y24" s="34" t="s">
        <v>4</v>
      </c>
      <c r="Z24" s="32" t="s">
        <v>2</v>
      </c>
      <c r="AA24" s="33" t="s">
        <v>2</v>
      </c>
      <c r="AB24" s="33" t="s">
        <v>3</v>
      </c>
      <c r="AC24" s="32" t="s">
        <v>3</v>
      </c>
      <c r="AD24" s="32" t="s">
        <v>3</v>
      </c>
      <c r="AE24" s="32" t="s">
        <v>4</v>
      </c>
      <c r="AF24" s="32" t="s">
        <v>4</v>
      </c>
      <c r="AG24" s="34" t="s">
        <v>4</v>
      </c>
      <c r="AH24" s="33" t="s">
        <v>2</v>
      </c>
      <c r="AI24" s="35">
        <f>COUNTIF(D24:AH24,"D")</f>
        <v>6</v>
      </c>
      <c r="AJ24" s="35">
        <f>COUNTIF(D24:AH24,"E")</f>
        <v>6</v>
      </c>
      <c r="AK24" s="35">
        <f>COUNTIF(D24:AH24,"N")</f>
        <v>7</v>
      </c>
      <c r="AL24" s="36">
        <f>COUNTIF(D24:AH24,"O")</f>
        <v>12</v>
      </c>
    </row>
    <row r="25" spans="1:38" ht="12.6" customHeight="1" x14ac:dyDescent="0.3">
      <c r="A25" s="29"/>
      <c r="B25" s="134">
        <v>14</v>
      </c>
      <c r="C25" s="143" t="s">
        <v>43</v>
      </c>
      <c r="D25" s="31" t="s">
        <v>1</v>
      </c>
      <c r="E25" s="32" t="s">
        <v>1</v>
      </c>
      <c r="F25" s="33" t="s">
        <v>4</v>
      </c>
      <c r="G25" s="33" t="s">
        <v>4</v>
      </c>
      <c r="H25" s="33" t="s">
        <v>1</v>
      </c>
      <c r="I25" s="32" t="s">
        <v>22</v>
      </c>
      <c r="J25" s="32" t="s">
        <v>1</v>
      </c>
      <c r="K25" s="32" t="s">
        <v>1</v>
      </c>
      <c r="L25" s="34" t="s">
        <v>4</v>
      </c>
      <c r="M25" s="34" t="s">
        <v>4</v>
      </c>
      <c r="N25" s="33" t="s">
        <v>1</v>
      </c>
      <c r="O25" s="32" t="s">
        <v>1</v>
      </c>
      <c r="P25" s="32" t="s">
        <v>22</v>
      </c>
      <c r="Q25" s="32" t="s">
        <v>4</v>
      </c>
      <c r="R25" s="32" t="s">
        <v>4</v>
      </c>
      <c r="S25" s="32" t="s">
        <v>1</v>
      </c>
      <c r="T25" s="34" t="s">
        <v>4</v>
      </c>
      <c r="U25" s="33" t="s">
        <v>1</v>
      </c>
      <c r="V25" s="32" t="s">
        <v>1</v>
      </c>
      <c r="W25" s="32" t="s">
        <v>1</v>
      </c>
      <c r="X25" s="32" t="s">
        <v>4</v>
      </c>
      <c r="Y25" s="32" t="s">
        <v>1</v>
      </c>
      <c r="Z25" s="32" t="s">
        <v>1</v>
      </c>
      <c r="AA25" s="34" t="s">
        <v>4</v>
      </c>
      <c r="AB25" s="34" t="s">
        <v>4</v>
      </c>
      <c r="AC25" s="32" t="s">
        <v>1</v>
      </c>
      <c r="AD25" s="32" t="s">
        <v>1</v>
      </c>
      <c r="AE25" s="32" t="s">
        <v>1</v>
      </c>
      <c r="AF25" s="32" t="s">
        <v>4</v>
      </c>
      <c r="AG25" s="32" t="s">
        <v>4</v>
      </c>
      <c r="AH25" s="33" t="s">
        <v>1</v>
      </c>
      <c r="AI25" s="35">
        <f>COUNTIF(D25:AH25,"D")</f>
        <v>17</v>
      </c>
      <c r="AJ25" s="35">
        <f>COUNTIF(D25:AH25,"E")</f>
        <v>0</v>
      </c>
      <c r="AK25" s="35">
        <f>COUNTIF(D25:AH25,"N")</f>
        <v>0</v>
      </c>
      <c r="AL25" s="36">
        <f>COUNTIF(D25:AH25,"O")</f>
        <v>12</v>
      </c>
    </row>
    <row r="26" spans="1:38" ht="12.6" customHeight="1" thickBot="1" x14ac:dyDescent="0.35">
      <c r="A26" s="46"/>
      <c r="B26" s="136">
        <v>15</v>
      </c>
      <c r="C26" s="141" t="s">
        <v>38</v>
      </c>
      <c r="D26" s="48" t="s">
        <v>2</v>
      </c>
      <c r="E26" s="49" t="s">
        <v>2</v>
      </c>
      <c r="F26" s="50" t="s">
        <v>2</v>
      </c>
      <c r="G26" s="50" t="s">
        <v>4</v>
      </c>
      <c r="H26" s="50" t="s">
        <v>3</v>
      </c>
      <c r="I26" s="49" t="s">
        <v>3</v>
      </c>
      <c r="J26" s="49" t="s">
        <v>3</v>
      </c>
      <c r="K26" s="49" t="s">
        <v>4</v>
      </c>
      <c r="L26" s="50" t="s">
        <v>4</v>
      </c>
      <c r="M26" s="50" t="s">
        <v>1</v>
      </c>
      <c r="N26" s="50" t="s">
        <v>1</v>
      </c>
      <c r="O26" s="49" t="s">
        <v>1</v>
      </c>
      <c r="P26" s="49" t="s">
        <v>2</v>
      </c>
      <c r="Q26" s="49" t="s">
        <v>2</v>
      </c>
      <c r="R26" s="49" t="s">
        <v>4</v>
      </c>
      <c r="S26" s="49" t="s">
        <v>4</v>
      </c>
      <c r="T26" s="50" t="s">
        <v>1</v>
      </c>
      <c r="U26" s="50" t="s">
        <v>2</v>
      </c>
      <c r="V26" s="49" t="s">
        <v>3</v>
      </c>
      <c r="W26" s="49" t="s">
        <v>3</v>
      </c>
      <c r="X26" s="49" t="s">
        <v>4</v>
      </c>
      <c r="Y26" s="51" t="s">
        <v>14</v>
      </c>
      <c r="Z26" s="49" t="s">
        <v>4</v>
      </c>
      <c r="AA26" s="50" t="s">
        <v>4</v>
      </c>
      <c r="AB26" s="50" t="s">
        <v>2</v>
      </c>
      <c r="AC26" s="49" t="s">
        <v>2</v>
      </c>
      <c r="AD26" s="49" t="s">
        <v>4</v>
      </c>
      <c r="AE26" s="49" t="s">
        <v>4</v>
      </c>
      <c r="AF26" s="49" t="s">
        <v>4</v>
      </c>
      <c r="AG26" s="49" t="s">
        <v>1</v>
      </c>
      <c r="AH26" s="50" t="s">
        <v>3</v>
      </c>
      <c r="AI26" s="52">
        <f t="shared" si="4"/>
        <v>5</v>
      </c>
      <c r="AJ26" s="52">
        <f t="shared" si="5"/>
        <v>8</v>
      </c>
      <c r="AK26" s="52">
        <f t="shared" si="6"/>
        <v>6</v>
      </c>
      <c r="AL26" s="53">
        <f t="shared" si="7"/>
        <v>11</v>
      </c>
    </row>
    <row r="27" spans="1:38" ht="12.6" customHeight="1" x14ac:dyDescent="0.3">
      <c r="A27" s="23" t="s">
        <v>2</v>
      </c>
      <c r="B27" s="133">
        <v>5</v>
      </c>
      <c r="C27" s="140" t="s">
        <v>44</v>
      </c>
      <c r="D27" s="66" t="s">
        <v>4</v>
      </c>
      <c r="E27" s="26" t="s">
        <v>4</v>
      </c>
      <c r="F27" s="27" t="s">
        <v>4</v>
      </c>
      <c r="G27" s="27" t="s">
        <v>1</v>
      </c>
      <c r="H27" s="27" t="s">
        <v>1</v>
      </c>
      <c r="I27" s="26" t="s">
        <v>2</v>
      </c>
      <c r="J27" s="26" t="s">
        <v>4</v>
      </c>
      <c r="K27" s="28" t="s">
        <v>4</v>
      </c>
      <c r="L27" s="27" t="s">
        <v>1</v>
      </c>
      <c r="M27" s="27" t="s">
        <v>1</v>
      </c>
      <c r="N27" s="27" t="s">
        <v>2</v>
      </c>
      <c r="O27" s="26" t="s">
        <v>2</v>
      </c>
      <c r="P27" s="26" t="s">
        <v>2</v>
      </c>
      <c r="Q27" s="26" t="s">
        <v>4</v>
      </c>
      <c r="R27" s="28" t="s">
        <v>4</v>
      </c>
      <c r="S27" s="26" t="s">
        <v>2</v>
      </c>
      <c r="T27" s="27" t="s">
        <v>2</v>
      </c>
      <c r="U27" s="27" t="s">
        <v>2</v>
      </c>
      <c r="V27" s="26" t="s">
        <v>4</v>
      </c>
      <c r="W27" s="26" t="s">
        <v>2</v>
      </c>
      <c r="X27" s="26" t="s">
        <v>2</v>
      </c>
      <c r="Y27" s="28" t="s">
        <v>4</v>
      </c>
      <c r="Z27" s="67" t="s">
        <v>14</v>
      </c>
      <c r="AA27" s="68" t="s">
        <v>2</v>
      </c>
      <c r="AB27" s="68" t="s">
        <v>2</v>
      </c>
      <c r="AC27" s="26" t="s">
        <v>2</v>
      </c>
      <c r="AD27" s="26" t="s">
        <v>4</v>
      </c>
      <c r="AE27" s="26" t="s">
        <v>2</v>
      </c>
      <c r="AF27" s="26" t="s">
        <v>2</v>
      </c>
      <c r="AG27" s="28" t="s">
        <v>4</v>
      </c>
      <c r="AH27" s="27" t="s">
        <v>2</v>
      </c>
      <c r="AI27" s="2">
        <f>COUNTIF(D27:AH27,"D")</f>
        <v>4</v>
      </c>
      <c r="AJ27" s="2">
        <f>COUNTIF(D27:AH27,"E")</f>
        <v>15</v>
      </c>
      <c r="AK27" s="2">
        <f>COUNTIF(D27:AH27,"N")</f>
        <v>0</v>
      </c>
      <c r="AL27" s="8">
        <f>COUNTIF(D27:AH27,"O")</f>
        <v>11</v>
      </c>
    </row>
    <row r="28" spans="1:38" ht="12.6" customHeight="1" x14ac:dyDescent="0.3">
      <c r="A28" s="29"/>
      <c r="B28" s="134">
        <v>18</v>
      </c>
      <c r="C28" s="143" t="s">
        <v>45</v>
      </c>
      <c r="D28" s="69" t="s">
        <v>19</v>
      </c>
      <c r="E28" s="32" t="s">
        <v>4</v>
      </c>
      <c r="F28" s="33" t="s">
        <v>3</v>
      </c>
      <c r="G28" s="33" t="s">
        <v>3</v>
      </c>
      <c r="H28" s="33" t="s">
        <v>4</v>
      </c>
      <c r="I28" s="32" t="s">
        <v>4</v>
      </c>
      <c r="J28" s="32" t="s">
        <v>1</v>
      </c>
      <c r="K28" s="34" t="s">
        <v>4</v>
      </c>
      <c r="L28" s="34" t="s">
        <v>4</v>
      </c>
      <c r="M28" s="34" t="s">
        <v>2</v>
      </c>
      <c r="N28" s="33" t="s">
        <v>2</v>
      </c>
      <c r="O28" s="32" t="s">
        <v>2</v>
      </c>
      <c r="P28" s="32" t="s">
        <v>4</v>
      </c>
      <c r="Q28" s="32" t="s">
        <v>3</v>
      </c>
      <c r="R28" s="32" t="s">
        <v>3</v>
      </c>
      <c r="S28" s="32" t="s">
        <v>3</v>
      </c>
      <c r="T28" s="33" t="s">
        <v>4</v>
      </c>
      <c r="U28" s="33" t="s">
        <v>4</v>
      </c>
      <c r="V28" s="32" t="s">
        <v>1</v>
      </c>
      <c r="W28" s="32" t="s">
        <v>1</v>
      </c>
      <c r="X28" s="32" t="s">
        <v>1</v>
      </c>
      <c r="Y28" s="32" t="s">
        <v>2</v>
      </c>
      <c r="Z28" s="54" t="s">
        <v>19</v>
      </c>
      <c r="AA28" s="34" t="s">
        <v>4</v>
      </c>
      <c r="AB28" s="33" t="s">
        <v>3</v>
      </c>
      <c r="AC28" s="32" t="s">
        <v>3</v>
      </c>
      <c r="AD28" s="32" t="s">
        <v>4</v>
      </c>
      <c r="AE28" s="32" t="s">
        <v>4</v>
      </c>
      <c r="AF28" s="32" t="s">
        <v>1</v>
      </c>
      <c r="AG28" s="32" t="s">
        <v>1</v>
      </c>
      <c r="AH28" s="33" t="s">
        <v>1</v>
      </c>
      <c r="AI28" s="35">
        <f>COUNTIF(D28:AH28,"D")</f>
        <v>7</v>
      </c>
      <c r="AJ28" s="35">
        <f>COUNTIF(D28:AH28,"E")</f>
        <v>4</v>
      </c>
      <c r="AK28" s="35">
        <f>COUNTIF(D28:AH28,"N")</f>
        <v>7</v>
      </c>
      <c r="AL28" s="36">
        <f>COUNTIF(D28:AH28,"O")</f>
        <v>11</v>
      </c>
    </row>
    <row r="29" spans="1:38" ht="12.6" customHeight="1" x14ac:dyDescent="0.3">
      <c r="A29" s="29"/>
      <c r="B29" s="134">
        <v>19</v>
      </c>
      <c r="C29" s="143" t="s">
        <v>46</v>
      </c>
      <c r="D29" s="69" t="s">
        <v>19</v>
      </c>
      <c r="E29" s="32" t="s">
        <v>4</v>
      </c>
      <c r="F29" s="34" t="s">
        <v>4</v>
      </c>
      <c r="G29" s="33" t="s">
        <v>20</v>
      </c>
      <c r="H29" s="33" t="s">
        <v>4</v>
      </c>
      <c r="I29" s="32" t="s">
        <v>4</v>
      </c>
      <c r="J29" s="32" t="s">
        <v>18</v>
      </c>
      <c r="K29" s="32" t="s">
        <v>4</v>
      </c>
      <c r="L29" s="33" t="s">
        <v>19</v>
      </c>
      <c r="M29" s="33" t="s">
        <v>19</v>
      </c>
      <c r="N29" s="33" t="s">
        <v>19</v>
      </c>
      <c r="O29" s="32" t="s">
        <v>19</v>
      </c>
      <c r="P29" s="32" t="s">
        <v>4</v>
      </c>
      <c r="Q29" s="32" t="s">
        <v>4</v>
      </c>
      <c r="R29" s="32" t="s">
        <v>18</v>
      </c>
      <c r="S29" s="37" t="s">
        <v>21</v>
      </c>
      <c r="T29" s="33" t="s">
        <v>4</v>
      </c>
      <c r="U29" s="33" t="s">
        <v>4</v>
      </c>
      <c r="V29" s="32" t="s">
        <v>18</v>
      </c>
      <c r="W29" s="32" t="s">
        <v>18</v>
      </c>
      <c r="X29" s="32" t="s">
        <v>18</v>
      </c>
      <c r="Y29" s="32" t="s">
        <v>19</v>
      </c>
      <c r="Z29" s="54" t="s">
        <v>19</v>
      </c>
      <c r="AA29" s="33" t="s">
        <v>4</v>
      </c>
      <c r="AB29" s="33" t="s">
        <v>20</v>
      </c>
      <c r="AC29" s="32" t="s">
        <v>20</v>
      </c>
      <c r="AD29" s="32" t="s">
        <v>4</v>
      </c>
      <c r="AE29" s="32" t="s">
        <v>4</v>
      </c>
      <c r="AF29" s="32" t="s">
        <v>18</v>
      </c>
      <c r="AG29" s="32" t="s">
        <v>18</v>
      </c>
      <c r="AH29" s="33" t="s">
        <v>18</v>
      </c>
      <c r="AI29" s="35">
        <f>COUNTIF(D29:AH29,"D")</f>
        <v>0</v>
      </c>
      <c r="AJ29" s="35">
        <f>COUNTIF(D29:AH29,"E")</f>
        <v>0</v>
      </c>
      <c r="AK29" s="35">
        <f>COUNTIF(D29:AH29,"N")</f>
        <v>0</v>
      </c>
      <c r="AL29" s="36">
        <f>COUNTIF(D29:AH29,"O")</f>
        <v>12</v>
      </c>
    </row>
    <row r="30" spans="1:38" ht="12.6" customHeight="1" x14ac:dyDescent="0.3">
      <c r="A30" s="29"/>
      <c r="B30" s="134">
        <v>25</v>
      </c>
      <c r="C30" s="143" t="s">
        <v>47</v>
      </c>
      <c r="D30" s="31" t="s">
        <v>2</v>
      </c>
      <c r="E30" s="32" t="s">
        <v>4</v>
      </c>
      <c r="F30" s="33" t="s">
        <v>2</v>
      </c>
      <c r="G30" s="33" t="s">
        <v>2</v>
      </c>
      <c r="H30" s="33" t="s">
        <v>3</v>
      </c>
      <c r="I30" s="34" t="s">
        <v>3</v>
      </c>
      <c r="J30" s="34" t="s">
        <v>4</v>
      </c>
      <c r="K30" s="34" t="s">
        <v>4</v>
      </c>
      <c r="L30" s="34" t="s">
        <v>4</v>
      </c>
      <c r="M30" s="34" t="s">
        <v>4</v>
      </c>
      <c r="N30" s="34" t="s">
        <v>4</v>
      </c>
      <c r="O30" s="34" t="s">
        <v>4</v>
      </c>
      <c r="P30" s="32" t="s">
        <v>2</v>
      </c>
      <c r="Q30" s="32" t="s">
        <v>3</v>
      </c>
      <c r="R30" s="32" t="s">
        <v>3</v>
      </c>
      <c r="S30" s="32" t="s">
        <v>3</v>
      </c>
      <c r="T30" s="33" t="s">
        <v>4</v>
      </c>
      <c r="U30" s="33" t="s">
        <v>4</v>
      </c>
      <c r="V30" s="32" t="s">
        <v>2</v>
      </c>
      <c r="W30" s="54" t="s">
        <v>19</v>
      </c>
      <c r="X30" s="32" t="s">
        <v>2</v>
      </c>
      <c r="Y30" s="32" t="s">
        <v>3</v>
      </c>
      <c r="Z30" s="32" t="s">
        <v>3</v>
      </c>
      <c r="AA30" s="33" t="s">
        <v>4</v>
      </c>
      <c r="AB30" s="33" t="s">
        <v>4</v>
      </c>
      <c r="AC30" s="32" t="s">
        <v>1</v>
      </c>
      <c r="AD30" s="32" t="s">
        <v>1</v>
      </c>
      <c r="AE30" s="32" t="s">
        <v>1</v>
      </c>
      <c r="AF30" s="32" t="s">
        <v>1</v>
      </c>
      <c r="AG30" s="32" t="s">
        <v>2</v>
      </c>
      <c r="AH30" s="34" t="s">
        <v>4</v>
      </c>
      <c r="AI30" s="35">
        <f t="shared" si="4"/>
        <v>4</v>
      </c>
      <c r="AJ30" s="35">
        <f t="shared" si="5"/>
        <v>7</v>
      </c>
      <c r="AK30" s="35">
        <f t="shared" si="6"/>
        <v>7</v>
      </c>
      <c r="AL30" s="36">
        <f t="shared" si="7"/>
        <v>12</v>
      </c>
    </row>
    <row r="31" spans="1:38" ht="12.6" customHeight="1" x14ac:dyDescent="0.3">
      <c r="A31" s="29"/>
      <c r="B31" s="134">
        <v>26</v>
      </c>
      <c r="C31" s="143" t="s">
        <v>42</v>
      </c>
      <c r="D31" s="31" t="s">
        <v>19</v>
      </c>
      <c r="E31" s="32" t="s">
        <v>4</v>
      </c>
      <c r="F31" s="33" t="s">
        <v>19</v>
      </c>
      <c r="G31" s="33" t="s">
        <v>19</v>
      </c>
      <c r="H31" s="33" t="s">
        <v>20</v>
      </c>
      <c r="I31" s="32" t="s">
        <v>20</v>
      </c>
      <c r="J31" s="32" t="s">
        <v>4</v>
      </c>
      <c r="K31" s="32" t="s">
        <v>4</v>
      </c>
      <c r="L31" s="54" t="s">
        <v>18</v>
      </c>
      <c r="M31" s="54" t="s">
        <v>18</v>
      </c>
      <c r="N31" s="33" t="s">
        <v>4</v>
      </c>
      <c r="O31" s="32" t="s">
        <v>4</v>
      </c>
      <c r="P31" s="32" t="s">
        <v>19</v>
      </c>
      <c r="Q31" s="32" t="s">
        <v>20</v>
      </c>
      <c r="R31" s="32" t="s">
        <v>20</v>
      </c>
      <c r="S31" s="32" t="s">
        <v>4</v>
      </c>
      <c r="T31" s="33" t="s">
        <v>4</v>
      </c>
      <c r="U31" s="33" t="s">
        <v>4</v>
      </c>
      <c r="V31" s="32" t="s">
        <v>18</v>
      </c>
      <c r="W31" s="54" t="s">
        <v>19</v>
      </c>
      <c r="X31" s="32" t="s">
        <v>19</v>
      </c>
      <c r="Y31" s="32" t="s">
        <v>4</v>
      </c>
      <c r="Z31" s="32" t="s">
        <v>4</v>
      </c>
      <c r="AA31" s="54" t="s">
        <v>19</v>
      </c>
      <c r="AB31" s="54" t="s">
        <v>19</v>
      </c>
      <c r="AC31" s="32" t="s">
        <v>3</v>
      </c>
      <c r="AD31" s="32" t="s">
        <v>3</v>
      </c>
      <c r="AE31" s="32" t="s">
        <v>3</v>
      </c>
      <c r="AF31" s="32" t="s">
        <v>4</v>
      </c>
      <c r="AG31" s="32" t="s">
        <v>4</v>
      </c>
      <c r="AH31" s="33" t="s">
        <v>2</v>
      </c>
      <c r="AI31" s="35">
        <f>COUNTIF(D31:AH31,"D")</f>
        <v>0</v>
      </c>
      <c r="AJ31" s="35">
        <f>COUNTIF(D31:AH31,"E")</f>
        <v>1</v>
      </c>
      <c r="AK31" s="35">
        <f>COUNTIF(D31:AH31,"N")</f>
        <v>3</v>
      </c>
      <c r="AL31" s="36">
        <f t="shared" si="7"/>
        <v>12</v>
      </c>
    </row>
    <row r="32" spans="1:38" ht="12.6" customHeight="1" x14ac:dyDescent="0.3">
      <c r="A32" s="29"/>
      <c r="B32" s="134">
        <v>9</v>
      </c>
      <c r="C32" s="143" t="s">
        <v>43</v>
      </c>
      <c r="D32" s="65" t="s">
        <v>4</v>
      </c>
      <c r="E32" s="32" t="s">
        <v>1</v>
      </c>
      <c r="F32" s="33" t="s">
        <v>1</v>
      </c>
      <c r="G32" s="33" t="s">
        <v>2</v>
      </c>
      <c r="H32" s="33" t="s">
        <v>3</v>
      </c>
      <c r="I32" s="32" t="s">
        <v>3</v>
      </c>
      <c r="J32" s="32" t="s">
        <v>4</v>
      </c>
      <c r="K32" s="34" t="s">
        <v>4</v>
      </c>
      <c r="L32" s="33" t="s">
        <v>2</v>
      </c>
      <c r="M32" s="33" t="s">
        <v>2</v>
      </c>
      <c r="N32" s="33" t="s">
        <v>3</v>
      </c>
      <c r="O32" s="32" t="s">
        <v>3</v>
      </c>
      <c r="P32" s="32" t="s">
        <v>3</v>
      </c>
      <c r="Q32" s="32" t="s">
        <v>4</v>
      </c>
      <c r="R32" s="34" t="s">
        <v>4</v>
      </c>
      <c r="S32" s="32" t="s">
        <v>4</v>
      </c>
      <c r="T32" s="33" t="s">
        <v>1</v>
      </c>
      <c r="U32" s="33" t="s">
        <v>1</v>
      </c>
      <c r="V32" s="32" t="s">
        <v>4</v>
      </c>
      <c r="W32" s="32" t="s">
        <v>4</v>
      </c>
      <c r="X32" s="37" t="s">
        <v>14</v>
      </c>
      <c r="Y32" s="34" t="s">
        <v>4</v>
      </c>
      <c r="Z32" s="32" t="s">
        <v>4</v>
      </c>
      <c r="AA32" s="33" t="s">
        <v>1</v>
      </c>
      <c r="AB32" s="33" t="s">
        <v>2</v>
      </c>
      <c r="AC32" s="32" t="s">
        <v>2</v>
      </c>
      <c r="AD32" s="32" t="s">
        <v>2</v>
      </c>
      <c r="AE32" s="32" t="s">
        <v>4</v>
      </c>
      <c r="AF32" s="32" t="s">
        <v>4</v>
      </c>
      <c r="AG32" s="34" t="s">
        <v>3</v>
      </c>
      <c r="AH32" s="33" t="s">
        <v>3</v>
      </c>
      <c r="AI32" s="35">
        <f>COUNTIF(D32:AH32,"D")</f>
        <v>5</v>
      </c>
      <c r="AJ32" s="35">
        <f>COUNTIF(D32:AH32,"E")</f>
        <v>6</v>
      </c>
      <c r="AK32" s="35">
        <f>COUNTIF(D32:AH32,"N")</f>
        <v>7</v>
      </c>
      <c r="AL32" s="36">
        <f>COUNTIF(D32:AH32,"O")</f>
        <v>12</v>
      </c>
    </row>
    <row r="33" spans="1:38" ht="12.6" customHeight="1" thickBot="1" x14ac:dyDescent="0.35">
      <c r="A33" s="38"/>
      <c r="B33" s="135">
        <v>28</v>
      </c>
      <c r="C33" s="39" t="s">
        <v>48</v>
      </c>
      <c r="D33" s="40" t="s">
        <v>1</v>
      </c>
      <c r="E33" s="41" t="s">
        <v>1</v>
      </c>
      <c r="F33" s="42" t="s">
        <v>4</v>
      </c>
      <c r="G33" s="42" t="s">
        <v>2</v>
      </c>
      <c r="H33" s="42" t="s">
        <v>2</v>
      </c>
      <c r="I33" s="41" t="s">
        <v>4</v>
      </c>
      <c r="J33" s="41" t="s">
        <v>4</v>
      </c>
      <c r="K33" s="41" t="s">
        <v>1</v>
      </c>
      <c r="L33" s="42" t="s">
        <v>2</v>
      </c>
      <c r="M33" s="42" t="s">
        <v>4</v>
      </c>
      <c r="N33" s="42" t="s">
        <v>3</v>
      </c>
      <c r="O33" s="41" t="s">
        <v>3</v>
      </c>
      <c r="P33" s="41" t="s">
        <v>3</v>
      </c>
      <c r="Q33" s="41" t="s">
        <v>4</v>
      </c>
      <c r="R33" s="41" t="s">
        <v>4</v>
      </c>
      <c r="S33" s="41" t="s">
        <v>1</v>
      </c>
      <c r="T33" s="42" t="s">
        <v>2</v>
      </c>
      <c r="U33" s="42" t="s">
        <v>4</v>
      </c>
      <c r="V33" s="41" t="s">
        <v>2</v>
      </c>
      <c r="W33" s="41" t="s">
        <v>2</v>
      </c>
      <c r="X33" s="41" t="s">
        <v>3</v>
      </c>
      <c r="Y33" s="41" t="s">
        <v>3</v>
      </c>
      <c r="Z33" s="41" t="s">
        <v>4</v>
      </c>
      <c r="AA33" s="42" t="s">
        <v>4</v>
      </c>
      <c r="AB33" s="42" t="s">
        <v>1</v>
      </c>
      <c r="AC33" s="41" t="s">
        <v>1</v>
      </c>
      <c r="AD33" s="41" t="s">
        <v>2</v>
      </c>
      <c r="AE33" s="41" t="s">
        <v>3</v>
      </c>
      <c r="AF33" s="41" t="s">
        <v>3</v>
      </c>
      <c r="AG33" s="41" t="s">
        <v>4</v>
      </c>
      <c r="AH33" s="42" t="s">
        <v>4</v>
      </c>
      <c r="AI33" s="9">
        <f>COUNTIF(D33:AH33,"D")</f>
        <v>6</v>
      </c>
      <c r="AJ33" s="9">
        <f>COUNTIF(D33:AH33,"E")</f>
        <v>7</v>
      </c>
      <c r="AK33" s="9">
        <f>COUNTIF(D33:AH33,"N")</f>
        <v>7</v>
      </c>
      <c r="AL33" s="14">
        <f>COUNTIF(D33:AH33,"O")</f>
        <v>11</v>
      </c>
    </row>
    <row r="34" spans="1:38" ht="12.6" customHeight="1" x14ac:dyDescent="0.3">
      <c r="A34" s="164"/>
      <c r="B34" s="170"/>
      <c r="C34" s="170"/>
      <c r="D34" s="73">
        <f t="shared" ref="D34:AH34" si="8">COUNTIF(D2:D33,"D")</f>
        <v>5</v>
      </c>
      <c r="E34" s="74">
        <f t="shared" si="8"/>
        <v>5</v>
      </c>
      <c r="F34" s="75">
        <f t="shared" si="8"/>
        <v>5</v>
      </c>
      <c r="G34" s="75">
        <f t="shared" si="8"/>
        <v>5</v>
      </c>
      <c r="H34" s="75">
        <f t="shared" si="8"/>
        <v>5</v>
      </c>
      <c r="I34" s="74">
        <f t="shared" si="8"/>
        <v>5</v>
      </c>
      <c r="J34" s="74">
        <f t="shared" si="8"/>
        <v>5</v>
      </c>
      <c r="K34" s="74">
        <f t="shared" si="8"/>
        <v>5</v>
      </c>
      <c r="L34" s="75">
        <f t="shared" si="8"/>
        <v>5</v>
      </c>
      <c r="M34" s="75">
        <f t="shared" si="8"/>
        <v>5</v>
      </c>
      <c r="N34" s="75">
        <f t="shared" si="8"/>
        <v>5</v>
      </c>
      <c r="O34" s="74">
        <f t="shared" si="8"/>
        <v>5</v>
      </c>
      <c r="P34" s="74">
        <f t="shared" si="8"/>
        <v>5</v>
      </c>
      <c r="Q34" s="74">
        <f t="shared" si="8"/>
        <v>5</v>
      </c>
      <c r="R34" s="74">
        <f t="shared" si="8"/>
        <v>5</v>
      </c>
      <c r="S34" s="74">
        <f t="shared" si="8"/>
        <v>5</v>
      </c>
      <c r="T34" s="75">
        <f t="shared" si="8"/>
        <v>5</v>
      </c>
      <c r="U34" s="75">
        <f t="shared" si="8"/>
        <v>5</v>
      </c>
      <c r="V34" s="74">
        <f t="shared" si="8"/>
        <v>5</v>
      </c>
      <c r="W34" s="74">
        <f t="shared" si="8"/>
        <v>5</v>
      </c>
      <c r="X34" s="74">
        <f t="shared" si="8"/>
        <v>5</v>
      </c>
      <c r="Y34" s="74">
        <f t="shared" si="8"/>
        <v>5</v>
      </c>
      <c r="Z34" s="74">
        <f t="shared" si="8"/>
        <v>5</v>
      </c>
      <c r="AA34" s="75">
        <f t="shared" si="8"/>
        <v>5</v>
      </c>
      <c r="AB34" s="75">
        <f t="shared" si="8"/>
        <v>5</v>
      </c>
      <c r="AC34" s="74">
        <f t="shared" si="8"/>
        <v>5</v>
      </c>
      <c r="AD34" s="74">
        <f t="shared" si="8"/>
        <v>5</v>
      </c>
      <c r="AE34" s="74">
        <f t="shared" si="8"/>
        <v>5</v>
      </c>
      <c r="AF34" s="74">
        <f t="shared" si="8"/>
        <v>5</v>
      </c>
      <c r="AG34" s="74">
        <f t="shared" si="8"/>
        <v>5</v>
      </c>
      <c r="AH34" s="76">
        <f t="shared" si="8"/>
        <v>5</v>
      </c>
      <c r="AI34" s="77">
        <f>SUM(D34:AH34)</f>
        <v>155</v>
      </c>
      <c r="AJ34" s="78"/>
      <c r="AK34" s="78"/>
      <c r="AL34" s="78"/>
    </row>
    <row r="35" spans="1:38" ht="12.6" customHeight="1" x14ac:dyDescent="0.3">
      <c r="A35" s="166"/>
      <c r="B35" s="170"/>
      <c r="C35" s="170"/>
      <c r="D35" s="79">
        <f t="shared" ref="D35:AH35" si="9">COUNTIF(D2:D33,"E")</f>
        <v>5</v>
      </c>
      <c r="E35" s="80">
        <f t="shared" si="9"/>
        <v>5</v>
      </c>
      <c r="F35" s="81">
        <f t="shared" si="9"/>
        <v>5</v>
      </c>
      <c r="G35" s="81">
        <f t="shared" si="9"/>
        <v>5</v>
      </c>
      <c r="H35" s="81">
        <f t="shared" si="9"/>
        <v>5</v>
      </c>
      <c r="I35" s="80">
        <f t="shared" si="9"/>
        <v>5</v>
      </c>
      <c r="J35" s="80">
        <f t="shared" si="9"/>
        <v>5</v>
      </c>
      <c r="K35" s="80">
        <f t="shared" si="9"/>
        <v>5</v>
      </c>
      <c r="L35" s="81">
        <f t="shared" si="9"/>
        <v>5</v>
      </c>
      <c r="M35" s="81">
        <f t="shared" si="9"/>
        <v>5</v>
      </c>
      <c r="N35" s="81">
        <f t="shared" si="9"/>
        <v>5</v>
      </c>
      <c r="O35" s="80">
        <f t="shared" si="9"/>
        <v>5</v>
      </c>
      <c r="P35" s="80">
        <f t="shared" si="9"/>
        <v>5</v>
      </c>
      <c r="Q35" s="80">
        <f t="shared" si="9"/>
        <v>5</v>
      </c>
      <c r="R35" s="80">
        <f t="shared" si="9"/>
        <v>5</v>
      </c>
      <c r="S35" s="80">
        <f t="shared" si="9"/>
        <v>5</v>
      </c>
      <c r="T35" s="81">
        <f t="shared" si="9"/>
        <v>5</v>
      </c>
      <c r="U35" s="81">
        <f t="shared" si="9"/>
        <v>5</v>
      </c>
      <c r="V35" s="80">
        <f t="shared" si="9"/>
        <v>5</v>
      </c>
      <c r="W35" s="80">
        <f t="shared" si="9"/>
        <v>5</v>
      </c>
      <c r="X35" s="80">
        <f t="shared" si="9"/>
        <v>5</v>
      </c>
      <c r="Y35" s="80">
        <f t="shared" si="9"/>
        <v>5</v>
      </c>
      <c r="Z35" s="80">
        <f t="shared" si="9"/>
        <v>5</v>
      </c>
      <c r="AA35" s="81">
        <f t="shared" si="9"/>
        <v>5</v>
      </c>
      <c r="AB35" s="81">
        <f t="shared" si="9"/>
        <v>5</v>
      </c>
      <c r="AC35" s="80">
        <f t="shared" si="9"/>
        <v>5</v>
      </c>
      <c r="AD35" s="80">
        <f t="shared" si="9"/>
        <v>5</v>
      </c>
      <c r="AE35" s="80">
        <f t="shared" si="9"/>
        <v>5</v>
      </c>
      <c r="AF35" s="80">
        <f t="shared" si="9"/>
        <v>5</v>
      </c>
      <c r="AG35" s="80">
        <f t="shared" si="9"/>
        <v>5</v>
      </c>
      <c r="AH35" s="82">
        <f t="shared" si="9"/>
        <v>5</v>
      </c>
      <c r="AI35" s="83"/>
      <c r="AJ35" s="84"/>
      <c r="AK35" s="84" t="s">
        <v>1</v>
      </c>
      <c r="AL35" s="84"/>
    </row>
    <row r="36" spans="1:38" ht="12.6" customHeight="1" x14ac:dyDescent="0.3">
      <c r="A36" s="166"/>
      <c r="B36" s="170"/>
      <c r="C36" s="170"/>
      <c r="D36" s="79">
        <f t="shared" ref="D36:AH36" si="10">COUNTIF(D2:D33,"N")</f>
        <v>5</v>
      </c>
      <c r="E36" s="80">
        <f t="shared" si="10"/>
        <v>5</v>
      </c>
      <c r="F36" s="81">
        <f t="shared" si="10"/>
        <v>5</v>
      </c>
      <c r="G36" s="81">
        <f t="shared" si="10"/>
        <v>5</v>
      </c>
      <c r="H36" s="81">
        <f t="shared" si="10"/>
        <v>5</v>
      </c>
      <c r="I36" s="80">
        <f t="shared" si="10"/>
        <v>5</v>
      </c>
      <c r="J36" s="80">
        <f t="shared" si="10"/>
        <v>5</v>
      </c>
      <c r="K36" s="80">
        <f t="shared" si="10"/>
        <v>5</v>
      </c>
      <c r="L36" s="81">
        <f t="shared" si="10"/>
        <v>5</v>
      </c>
      <c r="M36" s="81">
        <f t="shared" si="10"/>
        <v>5</v>
      </c>
      <c r="N36" s="81">
        <f t="shared" si="10"/>
        <v>5</v>
      </c>
      <c r="O36" s="80">
        <f t="shared" si="10"/>
        <v>5</v>
      </c>
      <c r="P36" s="80">
        <f t="shared" si="10"/>
        <v>5</v>
      </c>
      <c r="Q36" s="80">
        <f t="shared" si="10"/>
        <v>5</v>
      </c>
      <c r="R36" s="80">
        <f t="shared" si="10"/>
        <v>5</v>
      </c>
      <c r="S36" s="80">
        <f t="shared" si="10"/>
        <v>5</v>
      </c>
      <c r="T36" s="81">
        <f t="shared" si="10"/>
        <v>5</v>
      </c>
      <c r="U36" s="81">
        <f t="shared" si="10"/>
        <v>5</v>
      </c>
      <c r="V36" s="80">
        <f t="shared" si="10"/>
        <v>5</v>
      </c>
      <c r="W36" s="80">
        <f t="shared" si="10"/>
        <v>5</v>
      </c>
      <c r="X36" s="80">
        <f t="shared" si="10"/>
        <v>5</v>
      </c>
      <c r="Y36" s="80">
        <f t="shared" si="10"/>
        <v>5</v>
      </c>
      <c r="Z36" s="80">
        <f t="shared" si="10"/>
        <v>5</v>
      </c>
      <c r="AA36" s="81">
        <f t="shared" si="10"/>
        <v>5</v>
      </c>
      <c r="AB36" s="81">
        <f t="shared" si="10"/>
        <v>5</v>
      </c>
      <c r="AC36" s="80">
        <f t="shared" si="10"/>
        <v>5</v>
      </c>
      <c r="AD36" s="80">
        <f t="shared" si="10"/>
        <v>5</v>
      </c>
      <c r="AE36" s="80">
        <f t="shared" si="10"/>
        <v>5</v>
      </c>
      <c r="AF36" s="80">
        <f t="shared" si="10"/>
        <v>5</v>
      </c>
      <c r="AG36" s="80">
        <f t="shared" si="10"/>
        <v>5</v>
      </c>
      <c r="AH36" s="82">
        <f t="shared" si="10"/>
        <v>5</v>
      </c>
      <c r="AI36" s="83"/>
      <c r="AJ36" s="84"/>
      <c r="AK36" s="84"/>
      <c r="AL36" s="84" t="s">
        <v>23</v>
      </c>
    </row>
    <row r="37" spans="1:38" ht="12.6" customHeight="1" thickBot="1" x14ac:dyDescent="0.35">
      <c r="A37" s="171"/>
      <c r="B37" s="172"/>
      <c r="C37" s="172"/>
      <c r="D37" s="85">
        <f t="shared" ref="D37:AH37" si="11">COUNTIF(D2:D33,"O")</f>
        <v>9</v>
      </c>
      <c r="E37" s="86">
        <f t="shared" si="11"/>
        <v>12</v>
      </c>
      <c r="F37" s="87">
        <f t="shared" si="11"/>
        <v>11</v>
      </c>
      <c r="G37" s="87">
        <f t="shared" si="11"/>
        <v>11</v>
      </c>
      <c r="H37" s="87">
        <f t="shared" si="11"/>
        <v>12</v>
      </c>
      <c r="I37" s="86">
        <f t="shared" si="11"/>
        <v>10</v>
      </c>
      <c r="J37" s="86">
        <f t="shared" si="11"/>
        <v>10</v>
      </c>
      <c r="K37" s="86">
        <f t="shared" si="11"/>
        <v>11</v>
      </c>
      <c r="L37" s="87">
        <f t="shared" si="11"/>
        <v>10</v>
      </c>
      <c r="M37" s="87">
        <f t="shared" si="11"/>
        <v>11</v>
      </c>
      <c r="N37" s="87">
        <f t="shared" si="11"/>
        <v>13</v>
      </c>
      <c r="O37" s="86">
        <f t="shared" si="11"/>
        <v>11</v>
      </c>
      <c r="P37" s="86">
        <f t="shared" si="11"/>
        <v>8</v>
      </c>
      <c r="Q37" s="86">
        <f t="shared" si="11"/>
        <v>12</v>
      </c>
      <c r="R37" s="86">
        <f t="shared" si="11"/>
        <v>10</v>
      </c>
      <c r="S37" s="86">
        <f t="shared" si="11"/>
        <v>9</v>
      </c>
      <c r="T37" s="87">
        <f t="shared" si="11"/>
        <v>13</v>
      </c>
      <c r="U37" s="87">
        <f t="shared" si="11"/>
        <v>13</v>
      </c>
      <c r="V37" s="86">
        <f t="shared" si="11"/>
        <v>11</v>
      </c>
      <c r="W37" s="86">
        <f t="shared" si="11"/>
        <v>10</v>
      </c>
      <c r="X37" s="86">
        <f t="shared" si="11"/>
        <v>6</v>
      </c>
      <c r="Y37" s="86">
        <f t="shared" si="11"/>
        <v>9</v>
      </c>
      <c r="Z37" s="86">
        <f t="shared" si="11"/>
        <v>9</v>
      </c>
      <c r="AA37" s="87">
        <f t="shared" si="11"/>
        <v>12</v>
      </c>
      <c r="AB37" s="87">
        <f t="shared" si="11"/>
        <v>11</v>
      </c>
      <c r="AC37" s="86">
        <f t="shared" si="11"/>
        <v>13</v>
      </c>
      <c r="AD37" s="86">
        <f t="shared" si="11"/>
        <v>13</v>
      </c>
      <c r="AE37" s="86">
        <f t="shared" si="11"/>
        <v>12</v>
      </c>
      <c r="AF37" s="86">
        <f t="shared" si="11"/>
        <v>11</v>
      </c>
      <c r="AG37" s="86">
        <f t="shared" si="11"/>
        <v>12</v>
      </c>
      <c r="AH37" s="88">
        <f t="shared" si="11"/>
        <v>12</v>
      </c>
      <c r="AI37" s="89"/>
      <c r="AJ37" s="90"/>
      <c r="AK37" s="90"/>
      <c r="AL37" s="90"/>
    </row>
    <row r="38" spans="1:38" ht="9" customHeight="1" x14ac:dyDescent="0.3"/>
  </sheetData>
  <mergeCells count="4">
    <mergeCell ref="A1:AL1"/>
    <mergeCell ref="A2:B4"/>
    <mergeCell ref="C2:C3"/>
    <mergeCell ref="A34:C37"/>
  </mergeCells>
  <phoneticPr fontId="3" type="noConversion"/>
  <conditionalFormatting sqref="AK4:AK33">
    <cfRule type="cellIs" dxfId="0" priority="6" operator="greaterThan">
      <formula>8</formula>
    </cfRule>
  </conditionalFormatting>
  <pageMargins left="0.26" right="0.2" top="0.8" bottom="0.24" header="0.3" footer="0.17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5E8-4F53-4A25-AD10-59CB41F10B07}">
  <dimension ref="A1:AL39"/>
  <sheetViews>
    <sheetView tabSelected="1" topLeftCell="A23" workbookViewId="0">
      <selection activeCell="D39" sqref="D39:AL39"/>
    </sheetView>
  </sheetViews>
  <sheetFormatPr defaultRowHeight="16.5" x14ac:dyDescent="0.3"/>
  <cols>
    <col min="1" max="1" width="4.625" customWidth="1"/>
    <col min="2" max="2" width="5" customWidth="1"/>
    <col min="4" max="38" width="3" customWidth="1"/>
  </cols>
  <sheetData>
    <row r="1" spans="1:38" ht="27" thickBot="1" x14ac:dyDescent="0.35">
      <c r="A1" s="173" t="s">
        <v>52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5"/>
    </row>
    <row r="2" spans="1:38" x14ac:dyDescent="0.3">
      <c r="A2" s="184" t="s">
        <v>57</v>
      </c>
      <c r="B2" s="182" t="s">
        <v>56</v>
      </c>
      <c r="C2" s="176" t="s">
        <v>29</v>
      </c>
      <c r="D2" s="1">
        <v>1</v>
      </c>
      <c r="E2" s="2">
        <v>2</v>
      </c>
      <c r="F2" s="3">
        <v>3</v>
      </c>
      <c r="G2" s="3">
        <v>4</v>
      </c>
      <c r="H2" s="3">
        <v>5</v>
      </c>
      <c r="I2" s="2">
        <v>6</v>
      </c>
      <c r="J2" s="2">
        <v>7</v>
      </c>
      <c r="K2" s="2">
        <v>8</v>
      </c>
      <c r="L2" s="3">
        <v>9</v>
      </c>
      <c r="M2" s="3">
        <v>10</v>
      </c>
      <c r="N2" s="3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3">
        <v>17</v>
      </c>
      <c r="U2" s="3">
        <v>18</v>
      </c>
      <c r="V2" s="2">
        <v>19</v>
      </c>
      <c r="W2" s="2">
        <v>20</v>
      </c>
      <c r="X2" s="4">
        <v>21</v>
      </c>
      <c r="Y2" s="4">
        <v>22</v>
      </c>
      <c r="Z2" s="5">
        <v>23</v>
      </c>
      <c r="AA2" s="3">
        <v>24</v>
      </c>
      <c r="AB2" s="3">
        <v>25</v>
      </c>
      <c r="AC2" s="4">
        <v>26</v>
      </c>
      <c r="AD2" s="2">
        <v>27</v>
      </c>
      <c r="AE2" s="2">
        <v>28</v>
      </c>
      <c r="AF2" s="2">
        <v>29</v>
      </c>
      <c r="AG2" s="2">
        <v>30</v>
      </c>
      <c r="AH2" s="6">
        <v>31</v>
      </c>
      <c r="AI2" s="7" t="s">
        <v>1</v>
      </c>
      <c r="AJ2" s="2" t="s">
        <v>2</v>
      </c>
      <c r="AK2" s="2" t="s">
        <v>3</v>
      </c>
      <c r="AL2" s="8" t="s">
        <v>53</v>
      </c>
    </row>
    <row r="3" spans="1:38" ht="17.25" thickBot="1" x14ac:dyDescent="0.35">
      <c r="A3" s="185"/>
      <c r="B3" s="183"/>
      <c r="C3" s="177"/>
      <c r="D3" s="152" t="s">
        <v>5</v>
      </c>
      <c r="E3" s="9" t="s">
        <v>6</v>
      </c>
      <c r="F3" s="10" t="s">
        <v>7</v>
      </c>
      <c r="G3" s="10" t="s">
        <v>8</v>
      </c>
      <c r="H3" s="10" t="s">
        <v>9</v>
      </c>
      <c r="I3" s="9" t="s">
        <v>10</v>
      </c>
      <c r="J3" s="9" t="s">
        <v>11</v>
      </c>
      <c r="K3" s="9" t="s">
        <v>5</v>
      </c>
      <c r="L3" s="10" t="s">
        <v>6</v>
      </c>
      <c r="M3" s="10" t="s">
        <v>7</v>
      </c>
      <c r="N3" s="10" t="s">
        <v>8</v>
      </c>
      <c r="O3" s="9" t="s">
        <v>9</v>
      </c>
      <c r="P3" s="9" t="s">
        <v>10</v>
      </c>
      <c r="Q3" s="9" t="s">
        <v>11</v>
      </c>
      <c r="R3" s="9" t="s">
        <v>5</v>
      </c>
      <c r="S3" s="9" t="s">
        <v>6</v>
      </c>
      <c r="T3" s="10" t="s">
        <v>7</v>
      </c>
      <c r="U3" s="10" t="s">
        <v>8</v>
      </c>
      <c r="V3" s="9" t="s">
        <v>9</v>
      </c>
      <c r="W3" s="9" t="s">
        <v>10</v>
      </c>
      <c r="X3" s="11" t="s">
        <v>11</v>
      </c>
      <c r="Y3" s="11" t="s">
        <v>5</v>
      </c>
      <c r="Z3" s="12" t="s">
        <v>6</v>
      </c>
      <c r="AA3" s="10" t="s">
        <v>7</v>
      </c>
      <c r="AB3" s="10" t="s">
        <v>8</v>
      </c>
      <c r="AC3" s="11" t="s">
        <v>9</v>
      </c>
      <c r="AD3" s="9" t="s">
        <v>10</v>
      </c>
      <c r="AE3" s="9" t="s">
        <v>11</v>
      </c>
      <c r="AF3" s="9" t="s">
        <v>5</v>
      </c>
      <c r="AG3" s="9" t="s">
        <v>6</v>
      </c>
      <c r="AH3" s="10" t="s">
        <v>7</v>
      </c>
      <c r="AI3" s="13"/>
      <c r="AJ3" s="9"/>
      <c r="AK3" s="9"/>
      <c r="AL3" s="14"/>
    </row>
    <row r="4" spans="1:38" ht="17.25" thickBot="1" x14ac:dyDescent="0.35">
      <c r="A4" s="158"/>
      <c r="B4" s="158"/>
      <c r="C4" s="154"/>
      <c r="D4" s="153"/>
      <c r="E4" s="154"/>
      <c r="F4" s="155"/>
      <c r="G4" s="155"/>
      <c r="H4" s="155"/>
      <c r="I4" s="154"/>
      <c r="J4" s="154"/>
      <c r="K4" s="154"/>
      <c r="L4" s="155"/>
      <c r="M4" s="155"/>
      <c r="N4" s="155"/>
      <c r="O4" s="154"/>
      <c r="P4" s="154"/>
      <c r="Q4" s="154"/>
      <c r="R4" s="154"/>
      <c r="S4" s="154"/>
      <c r="T4" s="155"/>
      <c r="U4" s="155"/>
      <c r="V4" s="154"/>
      <c r="W4" s="154"/>
      <c r="X4" s="156">
        <v>3</v>
      </c>
      <c r="Y4" s="156">
        <v>3</v>
      </c>
      <c r="Z4" s="156">
        <v>2</v>
      </c>
      <c r="AA4" s="155"/>
      <c r="AB4" s="155"/>
      <c r="AC4" s="156"/>
      <c r="AD4" s="154"/>
      <c r="AE4" s="154"/>
      <c r="AF4" s="154"/>
      <c r="AG4" s="154"/>
      <c r="AH4" s="157"/>
      <c r="AI4" s="20">
        <f>COUNTIF(D4:AH4,"D")</f>
        <v>0</v>
      </c>
      <c r="AJ4" s="21">
        <f>COUNTIF(D4:AH4,"E")</f>
        <v>0</v>
      </c>
      <c r="AK4" s="21">
        <f>COUNTIF(D4:AH4,"N")</f>
        <v>0</v>
      </c>
      <c r="AL4" s="22">
        <f>COUNTIF(D4:AH4,"O")</f>
        <v>0</v>
      </c>
    </row>
    <row r="5" spans="1:38" ht="12.6" customHeight="1" x14ac:dyDescent="0.3">
      <c r="A5" s="186" t="s">
        <v>12</v>
      </c>
      <c r="B5" s="133">
        <v>17</v>
      </c>
      <c r="C5" s="24" t="s">
        <v>30</v>
      </c>
      <c r="D5" s="25"/>
      <c r="E5" s="26"/>
      <c r="F5" s="27"/>
      <c r="G5" s="27"/>
      <c r="H5" s="27"/>
      <c r="I5" s="26"/>
      <c r="J5" s="26"/>
      <c r="K5" s="26"/>
      <c r="L5" s="27"/>
      <c r="M5" s="27"/>
      <c r="N5" s="27"/>
      <c r="O5" s="26"/>
      <c r="P5" s="26"/>
      <c r="Q5" s="28" t="s">
        <v>3</v>
      </c>
      <c r="R5" s="28" t="s">
        <v>3</v>
      </c>
      <c r="S5" s="28" t="s">
        <v>4</v>
      </c>
      <c r="T5" s="28" t="s">
        <v>4</v>
      </c>
      <c r="U5" s="28" t="s">
        <v>2</v>
      </c>
      <c r="V5" s="26"/>
      <c r="W5" s="28" t="s">
        <v>2</v>
      </c>
      <c r="X5" s="26"/>
      <c r="Y5" s="26"/>
      <c r="Z5" s="26"/>
      <c r="AA5" s="27"/>
      <c r="AB5" s="27"/>
      <c r="AC5" s="26"/>
      <c r="AD5" s="26"/>
      <c r="AE5" s="26"/>
      <c r="AF5" s="26"/>
      <c r="AG5" s="26"/>
      <c r="AH5" s="28" t="s">
        <v>4</v>
      </c>
      <c r="AI5" s="2">
        <f>COUNTIF(D5:AH5,"D")</f>
        <v>0</v>
      </c>
      <c r="AJ5" s="2">
        <f>COUNTIF(D5:AH5,"E")</f>
        <v>2</v>
      </c>
      <c r="AK5" s="2">
        <f>COUNTIF(D5:AH5,"N")</f>
        <v>2</v>
      </c>
      <c r="AL5" s="8">
        <f>COUNTIF(D5:AH5,"O")</f>
        <v>3</v>
      </c>
    </row>
    <row r="6" spans="1:38" ht="12.6" customHeight="1" x14ac:dyDescent="0.3">
      <c r="A6" s="187"/>
      <c r="B6" s="134">
        <v>6</v>
      </c>
      <c r="C6" s="30" t="s">
        <v>31</v>
      </c>
      <c r="D6" s="31"/>
      <c r="E6" s="32"/>
      <c r="F6" s="33"/>
      <c r="G6" s="33"/>
      <c r="H6" s="33"/>
      <c r="I6" s="32"/>
      <c r="J6" s="32"/>
      <c r="K6" s="32"/>
      <c r="L6" s="33"/>
      <c r="M6" s="33"/>
      <c r="N6" s="33"/>
      <c r="O6" s="32"/>
      <c r="P6" s="32"/>
      <c r="Q6" s="32"/>
      <c r="R6" s="32"/>
      <c r="S6" s="32"/>
      <c r="T6" s="34" t="s">
        <v>4</v>
      </c>
      <c r="U6" s="33"/>
      <c r="V6" s="32"/>
      <c r="W6" s="32"/>
      <c r="X6" s="32"/>
      <c r="Y6" s="32"/>
      <c r="Z6" s="32"/>
      <c r="AA6" s="34" t="s">
        <v>1</v>
      </c>
      <c r="AB6" s="34" t="s">
        <v>4</v>
      </c>
      <c r="AC6" s="32"/>
      <c r="AD6" s="32"/>
      <c r="AE6" s="32"/>
      <c r="AF6" s="32"/>
      <c r="AG6" s="34" t="s">
        <v>4</v>
      </c>
      <c r="AH6" s="34" t="s">
        <v>4</v>
      </c>
      <c r="AI6" s="35">
        <f>COUNTIF(D6:AH6,"D")</f>
        <v>1</v>
      </c>
      <c r="AJ6" s="35">
        <f>COUNTIF(D6:AH6,"E")</f>
        <v>0</v>
      </c>
      <c r="AK6" s="35">
        <f>COUNTIF(D6:AH6,"N")</f>
        <v>0</v>
      </c>
      <c r="AL6" s="36">
        <f>COUNTIF(D6:AH6,"O")</f>
        <v>4</v>
      </c>
    </row>
    <row r="7" spans="1:38" ht="12.6" customHeight="1" x14ac:dyDescent="0.3">
      <c r="A7" s="187"/>
      <c r="B7" s="134">
        <v>13</v>
      </c>
      <c r="C7" s="30" t="s">
        <v>32</v>
      </c>
      <c r="D7" s="31"/>
      <c r="E7" s="32"/>
      <c r="F7" s="33"/>
      <c r="G7" s="33"/>
      <c r="H7" s="33"/>
      <c r="I7" s="32"/>
      <c r="J7" s="32"/>
      <c r="K7" s="32"/>
      <c r="L7" s="33"/>
      <c r="M7" s="33"/>
      <c r="N7" s="33"/>
      <c r="O7" s="32"/>
      <c r="P7" s="32"/>
      <c r="Q7" s="32"/>
      <c r="R7" s="32"/>
      <c r="S7" s="32"/>
      <c r="T7" s="33"/>
      <c r="U7" s="33"/>
      <c r="V7" s="32"/>
      <c r="W7" s="32"/>
      <c r="X7" s="37" t="s">
        <v>14</v>
      </c>
      <c r="Y7" s="32"/>
      <c r="Z7" s="32"/>
      <c r="AA7" s="33"/>
      <c r="AB7" s="33"/>
      <c r="AC7" s="32"/>
      <c r="AD7" s="32"/>
      <c r="AE7" s="32"/>
      <c r="AF7" s="32"/>
      <c r="AG7" s="32"/>
      <c r="AH7" s="34" t="s">
        <v>4</v>
      </c>
      <c r="AI7" s="35">
        <f>COUNTIF(D7:AH7,"D")</f>
        <v>0</v>
      </c>
      <c r="AJ7" s="35">
        <f>COUNTIF(D7:AH7,"E")</f>
        <v>0</v>
      </c>
      <c r="AK7" s="35">
        <f>COUNTIF(D7:AH7,"N")</f>
        <v>0</v>
      </c>
      <c r="AL7" s="36">
        <f>COUNTIF(D7:AH7,"O")</f>
        <v>1</v>
      </c>
    </row>
    <row r="8" spans="1:38" ht="12.6" customHeight="1" thickBot="1" x14ac:dyDescent="0.35">
      <c r="A8" s="188"/>
      <c r="B8" s="135">
        <v>20</v>
      </c>
      <c r="C8" s="39" t="s">
        <v>32</v>
      </c>
      <c r="D8" s="40"/>
      <c r="E8" s="41"/>
      <c r="F8" s="42"/>
      <c r="G8" s="42"/>
      <c r="H8" s="42"/>
      <c r="I8" s="41"/>
      <c r="J8" s="41"/>
      <c r="K8" s="41"/>
      <c r="L8" s="42"/>
      <c r="M8" s="42"/>
      <c r="N8" s="42"/>
      <c r="O8" s="41"/>
      <c r="P8" s="41"/>
      <c r="Q8" s="41"/>
      <c r="R8" s="41"/>
      <c r="S8" s="41"/>
      <c r="T8" s="43" t="s">
        <v>4</v>
      </c>
      <c r="U8" s="43" t="s">
        <v>4</v>
      </c>
      <c r="V8" s="41"/>
      <c r="W8" s="41"/>
      <c r="X8" s="41"/>
      <c r="Y8" s="41"/>
      <c r="Z8" s="41"/>
      <c r="AA8" s="42"/>
      <c r="AB8" s="43" t="s">
        <v>4</v>
      </c>
      <c r="AC8" s="41"/>
      <c r="AD8" s="41"/>
      <c r="AE8" s="41"/>
      <c r="AF8" s="41"/>
      <c r="AG8" s="41"/>
      <c r="AH8" s="42"/>
      <c r="AI8" s="9">
        <f>COUNTIF(D8:AH8,"D")</f>
        <v>0</v>
      </c>
      <c r="AJ8" s="9">
        <f>COUNTIF(D8:AH8,"E")</f>
        <v>0</v>
      </c>
      <c r="AK8" s="9">
        <f>COUNTIF(D8:AH8,"N")</f>
        <v>0</v>
      </c>
      <c r="AL8" s="14">
        <f>COUNTIF(D8:AH8,"O")</f>
        <v>3</v>
      </c>
    </row>
    <row r="9" spans="1:38" ht="12.6" customHeight="1" x14ac:dyDescent="0.3">
      <c r="A9" s="186" t="s">
        <v>15</v>
      </c>
      <c r="B9" s="146">
        <v>23</v>
      </c>
      <c r="C9" s="147" t="s">
        <v>33</v>
      </c>
      <c r="D9" s="25"/>
      <c r="E9" s="26"/>
      <c r="F9" s="27"/>
      <c r="G9" s="27"/>
      <c r="H9" s="27"/>
      <c r="I9" s="26"/>
      <c r="J9" s="26"/>
      <c r="K9" s="26"/>
      <c r="L9" s="27"/>
      <c r="M9" s="27"/>
      <c r="N9" s="27"/>
      <c r="O9" s="26"/>
      <c r="P9" s="26"/>
      <c r="Q9" s="26"/>
      <c r="R9" s="26"/>
      <c r="S9" s="26"/>
      <c r="T9" s="28" t="s">
        <v>4</v>
      </c>
      <c r="U9" s="28" t="s">
        <v>4</v>
      </c>
      <c r="V9" s="26"/>
      <c r="W9" s="26"/>
      <c r="X9" s="26"/>
      <c r="Y9" s="26"/>
      <c r="Z9" s="26"/>
      <c r="AA9" s="27"/>
      <c r="AB9" s="27"/>
      <c r="AC9" s="26"/>
      <c r="AD9" s="28" t="s">
        <v>16</v>
      </c>
      <c r="AE9" s="26"/>
      <c r="AF9" s="26"/>
      <c r="AG9" s="26"/>
      <c r="AH9" s="27"/>
      <c r="AI9" s="2">
        <f t="shared" ref="AI9:AI17" si="0">COUNTIF(D9:AH9,"D")</f>
        <v>0</v>
      </c>
      <c r="AJ9" s="2">
        <f t="shared" ref="AJ9:AJ17" si="1">COUNTIF(D9:AH9,"E")</f>
        <v>0</v>
      </c>
      <c r="AK9" s="2">
        <f t="shared" ref="AK9:AK17" si="2">COUNTIF(D9:AH9,"N")</f>
        <v>0</v>
      </c>
      <c r="AL9" s="8">
        <f t="shared" ref="AL9:AL17" si="3">COUNTIF(D9:AH9,"O")</f>
        <v>3</v>
      </c>
    </row>
    <row r="10" spans="1:38" ht="12.6" customHeight="1" x14ac:dyDescent="0.3">
      <c r="A10" s="187"/>
      <c r="B10" s="134">
        <v>2</v>
      </c>
      <c r="C10" s="143" t="s">
        <v>34</v>
      </c>
      <c r="D10" s="31"/>
      <c r="E10" s="32"/>
      <c r="F10" s="33"/>
      <c r="G10" s="33"/>
      <c r="H10" s="33"/>
      <c r="I10" s="32"/>
      <c r="J10" s="32"/>
      <c r="K10" s="32"/>
      <c r="L10" s="34" t="s">
        <v>1</v>
      </c>
      <c r="M10" s="33"/>
      <c r="N10" s="33"/>
      <c r="O10" s="32"/>
      <c r="P10" s="34" t="s">
        <v>4</v>
      </c>
      <c r="Q10" s="34" t="s">
        <v>4</v>
      </c>
      <c r="R10" s="32"/>
      <c r="S10" s="32"/>
      <c r="T10" s="33"/>
      <c r="U10" s="34" t="s">
        <v>4</v>
      </c>
      <c r="V10" s="32" t="s">
        <v>3</v>
      </c>
      <c r="W10" s="32"/>
      <c r="X10" s="32"/>
      <c r="Y10" s="32"/>
      <c r="Z10" s="32"/>
      <c r="AA10" s="33"/>
      <c r="AB10" s="33"/>
      <c r="AC10" s="32"/>
      <c r="AD10" s="32"/>
      <c r="AE10" s="32"/>
      <c r="AF10" s="32"/>
      <c r="AG10" s="32"/>
      <c r="AH10" s="34" t="s">
        <v>4</v>
      </c>
      <c r="AI10" s="35">
        <f>COUNTIF(D10:AH10,"D")</f>
        <v>1</v>
      </c>
      <c r="AJ10" s="35">
        <f>COUNTIF(D10:AH10,"E")</f>
        <v>0</v>
      </c>
      <c r="AK10" s="35">
        <f>COUNTIF(D10:AH10,"N")</f>
        <v>1</v>
      </c>
      <c r="AL10" s="36">
        <f>COUNTIF(D10:AH10,"O")</f>
        <v>4</v>
      </c>
    </row>
    <row r="11" spans="1:38" ht="12.6" customHeight="1" x14ac:dyDescent="0.3">
      <c r="A11" s="187"/>
      <c r="B11" s="134">
        <v>3</v>
      </c>
      <c r="C11" s="30" t="s">
        <v>35</v>
      </c>
      <c r="D11" s="31"/>
      <c r="E11" s="32"/>
      <c r="F11" s="33"/>
      <c r="G11" s="33"/>
      <c r="H11" s="33"/>
      <c r="I11" s="32"/>
      <c r="J11" s="32"/>
      <c r="K11" s="32"/>
      <c r="L11" s="33"/>
      <c r="M11" s="33"/>
      <c r="N11" s="33"/>
      <c r="O11" s="34" t="s">
        <v>2</v>
      </c>
      <c r="P11" s="32"/>
      <c r="Q11" s="32"/>
      <c r="R11" s="32"/>
      <c r="S11" s="32"/>
      <c r="T11" s="33"/>
      <c r="U11" s="33"/>
      <c r="V11" s="32"/>
      <c r="W11" s="32"/>
      <c r="X11" s="32"/>
      <c r="Y11" s="32"/>
      <c r="Z11" s="32"/>
      <c r="AA11" s="34" t="s">
        <v>4</v>
      </c>
      <c r="AB11" s="34" t="s">
        <v>4</v>
      </c>
      <c r="AC11" s="32"/>
      <c r="AD11" s="32"/>
      <c r="AE11" s="32"/>
      <c r="AF11" s="32"/>
      <c r="AG11" s="32"/>
      <c r="AH11" s="34" t="s">
        <v>4</v>
      </c>
      <c r="AI11" s="35">
        <f>COUNTIF(D11:AH11,"D")</f>
        <v>0</v>
      </c>
      <c r="AJ11" s="35">
        <f>COUNTIF(D11:AH11,"E")</f>
        <v>1</v>
      </c>
      <c r="AK11" s="35">
        <f>COUNTIF(D11:AH11,"N")</f>
        <v>0</v>
      </c>
      <c r="AL11" s="36">
        <f>COUNTIF(D11:AH11,"O")</f>
        <v>3</v>
      </c>
    </row>
    <row r="12" spans="1:38" ht="12.6" customHeight="1" x14ac:dyDescent="0.3">
      <c r="A12" s="187"/>
      <c r="B12" s="134">
        <v>4</v>
      </c>
      <c r="C12" s="30" t="s">
        <v>36</v>
      </c>
      <c r="D12" s="31"/>
      <c r="E12" s="32"/>
      <c r="F12" s="33"/>
      <c r="G12" s="33"/>
      <c r="H12" s="33"/>
      <c r="I12" s="32"/>
      <c r="J12" s="32"/>
      <c r="K12" s="32"/>
      <c r="L12" s="33"/>
      <c r="M12" s="33"/>
      <c r="N12" s="33"/>
      <c r="O12" s="32"/>
      <c r="P12" s="32"/>
      <c r="Q12" s="32"/>
      <c r="R12" s="32"/>
      <c r="S12" s="32"/>
      <c r="T12" s="33"/>
      <c r="U12" s="33"/>
      <c r="V12" s="32"/>
      <c r="W12" s="32"/>
      <c r="X12" s="37" t="s">
        <v>14</v>
      </c>
      <c r="Y12" s="32"/>
      <c r="Z12" s="32"/>
      <c r="AA12" s="33"/>
      <c r="AB12" s="34" t="s">
        <v>1</v>
      </c>
      <c r="AC12" s="32"/>
      <c r="AD12" s="32"/>
      <c r="AE12" s="32"/>
      <c r="AF12" s="32"/>
      <c r="AG12" s="32"/>
      <c r="AH12" s="33"/>
      <c r="AI12" s="35">
        <f>COUNTIF(D12:AH12,"D")</f>
        <v>1</v>
      </c>
      <c r="AJ12" s="35">
        <f>COUNTIF(D12:AH12,"E")</f>
        <v>0</v>
      </c>
      <c r="AK12" s="35">
        <f>COUNTIF(D12:AH12,"N")</f>
        <v>0</v>
      </c>
      <c r="AL12" s="36">
        <f>COUNTIF(D12:AH12,"O")</f>
        <v>0</v>
      </c>
    </row>
    <row r="13" spans="1:38" ht="12.6" customHeight="1" x14ac:dyDescent="0.3">
      <c r="A13" s="187"/>
      <c r="B13" s="134">
        <v>27</v>
      </c>
      <c r="C13" s="30" t="s">
        <v>37</v>
      </c>
      <c r="D13" s="31"/>
      <c r="E13" s="32"/>
      <c r="F13" s="33"/>
      <c r="G13" s="33"/>
      <c r="H13" s="33"/>
      <c r="I13" s="32"/>
      <c r="J13" s="32"/>
      <c r="K13" s="32"/>
      <c r="L13" s="33"/>
      <c r="M13" s="33"/>
      <c r="N13" s="33"/>
      <c r="O13" s="34" t="s">
        <v>4</v>
      </c>
      <c r="P13" s="34" t="s">
        <v>4</v>
      </c>
      <c r="Q13" s="32"/>
      <c r="R13" s="32"/>
      <c r="S13" s="32"/>
      <c r="T13" s="33"/>
      <c r="U13" s="33"/>
      <c r="V13" s="32"/>
      <c r="W13" s="32"/>
      <c r="X13" s="32"/>
      <c r="Y13" s="32"/>
      <c r="Z13" s="32"/>
      <c r="AA13" s="33"/>
      <c r="AB13" s="33"/>
      <c r="AC13" s="32"/>
      <c r="AD13" s="32"/>
      <c r="AE13" s="32"/>
      <c r="AF13" s="32"/>
      <c r="AG13" s="32"/>
      <c r="AH13" s="33"/>
      <c r="AI13" s="35">
        <f>COUNTIF(D13:AH13,"D")</f>
        <v>0</v>
      </c>
      <c r="AJ13" s="35">
        <f>COUNTIF(D13:AH13,"E")</f>
        <v>0</v>
      </c>
      <c r="AK13" s="35">
        <f>COUNTIF(D13:AH13,"N")</f>
        <v>0</v>
      </c>
      <c r="AL13" s="36">
        <f>COUNTIF(D13:AH13,"O")</f>
        <v>2</v>
      </c>
    </row>
    <row r="14" spans="1:38" ht="12.6" customHeight="1" thickBot="1" x14ac:dyDescent="0.35">
      <c r="A14" s="188"/>
      <c r="B14" s="136">
        <v>7</v>
      </c>
      <c r="C14" s="47" t="s">
        <v>38</v>
      </c>
      <c r="D14" s="48"/>
      <c r="E14" s="49"/>
      <c r="F14" s="50"/>
      <c r="G14" s="50"/>
      <c r="H14" s="50"/>
      <c r="I14" s="49"/>
      <c r="J14" s="49"/>
      <c r="K14" s="49"/>
      <c r="L14" s="50"/>
      <c r="M14" s="50"/>
      <c r="N14" s="50"/>
      <c r="O14" s="49"/>
      <c r="P14" s="51" t="s">
        <v>14</v>
      </c>
      <c r="Q14" s="49"/>
      <c r="R14" s="49"/>
      <c r="S14" s="49"/>
      <c r="T14" s="50"/>
      <c r="U14" s="50"/>
      <c r="V14" s="49"/>
      <c r="W14" s="49"/>
      <c r="X14" s="49"/>
      <c r="Y14" s="49"/>
      <c r="Z14" s="49"/>
      <c r="AA14" s="50"/>
      <c r="AB14" s="50"/>
      <c r="AC14" s="49"/>
      <c r="AD14" s="49"/>
      <c r="AE14" s="49"/>
      <c r="AF14" s="49"/>
      <c r="AG14" s="49"/>
      <c r="AH14" s="50"/>
      <c r="AI14" s="52">
        <f t="shared" si="0"/>
        <v>0</v>
      </c>
      <c r="AJ14" s="52">
        <f t="shared" si="1"/>
        <v>0</v>
      </c>
      <c r="AK14" s="52">
        <f t="shared" si="2"/>
        <v>0</v>
      </c>
      <c r="AL14" s="53">
        <f t="shared" si="3"/>
        <v>0</v>
      </c>
    </row>
    <row r="15" spans="1:38" ht="12.6" customHeight="1" x14ac:dyDescent="0.3">
      <c r="A15" s="159" t="s">
        <v>13</v>
      </c>
      <c r="B15" s="133">
        <v>1</v>
      </c>
      <c r="C15" s="24" t="s">
        <v>39</v>
      </c>
      <c r="D15" s="25"/>
      <c r="E15" s="26"/>
      <c r="F15" s="27"/>
      <c r="G15" s="28" t="s">
        <v>1</v>
      </c>
      <c r="H15" s="28" t="s">
        <v>4</v>
      </c>
      <c r="I15" s="28" t="s">
        <v>4</v>
      </c>
      <c r="J15" s="28" t="s">
        <v>4</v>
      </c>
      <c r="K15" s="28" t="s">
        <v>2</v>
      </c>
      <c r="L15" s="27"/>
      <c r="M15" s="27"/>
      <c r="N15" s="27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6"/>
      <c r="AA15" s="27"/>
      <c r="AB15" s="27"/>
      <c r="AC15" s="26"/>
      <c r="AD15" s="26"/>
      <c r="AE15" s="26"/>
      <c r="AF15" s="26"/>
      <c r="AG15" s="26"/>
      <c r="AH15" s="27"/>
      <c r="AI15" s="2">
        <f>COUNTIF(D15:AH15,"D")</f>
        <v>1</v>
      </c>
      <c r="AJ15" s="2">
        <f>COUNTIF(D15:AH15,"E")</f>
        <v>1</v>
      </c>
      <c r="AK15" s="2">
        <f>COUNTIF(D15:AH15,"N")</f>
        <v>0</v>
      </c>
      <c r="AL15" s="8">
        <f>COUNTIF(D15:AH15,"O")</f>
        <v>3</v>
      </c>
    </row>
    <row r="16" spans="1:38" ht="12.6" customHeight="1" x14ac:dyDescent="0.3">
      <c r="A16" s="105"/>
      <c r="B16" s="134">
        <v>8</v>
      </c>
      <c r="C16" s="143" t="s">
        <v>40</v>
      </c>
      <c r="D16" s="31"/>
      <c r="E16" s="32"/>
      <c r="F16" s="34" t="s">
        <v>4</v>
      </c>
      <c r="G16" s="34" t="s">
        <v>4</v>
      </c>
      <c r="H16" s="34" t="s">
        <v>4</v>
      </c>
      <c r="I16" s="32"/>
      <c r="J16" s="32"/>
      <c r="K16" s="32"/>
      <c r="L16" s="33"/>
      <c r="M16" s="33"/>
      <c r="N16" s="33"/>
      <c r="O16" s="32"/>
      <c r="P16" s="32"/>
      <c r="Q16" s="32"/>
      <c r="R16" s="32"/>
      <c r="S16" s="32"/>
      <c r="T16" s="34" t="s">
        <v>4</v>
      </c>
      <c r="U16" s="33"/>
      <c r="V16" s="32"/>
      <c r="W16" s="32"/>
      <c r="X16" s="32"/>
      <c r="Y16" s="32"/>
      <c r="Z16" s="32"/>
      <c r="AA16" s="34" t="s">
        <v>4</v>
      </c>
      <c r="AB16" s="34" t="s">
        <v>4</v>
      </c>
      <c r="AC16" s="34" t="s">
        <v>4</v>
      </c>
      <c r="AD16" s="54" t="s">
        <v>17</v>
      </c>
      <c r="AE16" s="32"/>
      <c r="AF16" s="32"/>
      <c r="AG16" s="32"/>
      <c r="AH16" s="33"/>
      <c r="AI16" s="35">
        <f t="shared" si="0"/>
        <v>1</v>
      </c>
      <c r="AJ16" s="35">
        <f t="shared" si="1"/>
        <v>0</v>
      </c>
      <c r="AK16" s="35">
        <f t="shared" si="2"/>
        <v>0</v>
      </c>
      <c r="AL16" s="36">
        <f t="shared" si="3"/>
        <v>7</v>
      </c>
    </row>
    <row r="17" spans="1:38" ht="12.6" customHeight="1" x14ac:dyDescent="0.3">
      <c r="A17" s="29" t="s">
        <v>54</v>
      </c>
      <c r="B17" s="134">
        <v>29</v>
      </c>
      <c r="C17" s="143" t="s">
        <v>41</v>
      </c>
      <c r="D17" s="31"/>
      <c r="E17" s="32"/>
      <c r="F17" s="33" t="s">
        <v>4</v>
      </c>
      <c r="G17" s="33" t="s">
        <v>4</v>
      </c>
      <c r="H17" s="33" t="s">
        <v>4</v>
      </c>
      <c r="I17" s="32"/>
      <c r="J17" s="32"/>
      <c r="K17" s="32"/>
      <c r="L17" s="33" t="s">
        <v>4</v>
      </c>
      <c r="M17" s="33" t="s">
        <v>4</v>
      </c>
      <c r="N17" s="33" t="s">
        <v>4</v>
      </c>
      <c r="O17" s="32"/>
      <c r="P17" s="32"/>
      <c r="Q17" s="32"/>
      <c r="R17" s="32"/>
      <c r="S17" s="32"/>
      <c r="T17" s="33" t="s">
        <v>4</v>
      </c>
      <c r="U17" s="33" t="s">
        <v>4</v>
      </c>
      <c r="V17" s="32"/>
      <c r="W17" s="32"/>
      <c r="X17" s="32"/>
      <c r="Y17" s="32"/>
      <c r="Z17" s="32"/>
      <c r="AA17" s="33" t="s">
        <v>4</v>
      </c>
      <c r="AB17" s="33" t="s">
        <v>4</v>
      </c>
      <c r="AC17" s="32"/>
      <c r="AD17" s="32"/>
      <c r="AE17" s="32"/>
      <c r="AF17" s="32"/>
      <c r="AG17" s="32"/>
      <c r="AH17" s="33"/>
      <c r="AI17" s="35">
        <f t="shared" si="0"/>
        <v>0</v>
      </c>
      <c r="AJ17" s="35">
        <f t="shared" si="1"/>
        <v>0</v>
      </c>
      <c r="AK17" s="35">
        <f t="shared" si="2"/>
        <v>0</v>
      </c>
      <c r="AL17" s="36">
        <f t="shared" si="3"/>
        <v>10</v>
      </c>
    </row>
    <row r="18" spans="1:38" ht="12.6" customHeight="1" x14ac:dyDescent="0.3">
      <c r="A18" s="189"/>
      <c r="B18" s="134">
        <v>21</v>
      </c>
      <c r="C18" s="30" t="s">
        <v>36</v>
      </c>
      <c r="D18" s="31"/>
      <c r="E18" s="32"/>
      <c r="F18" s="33"/>
      <c r="G18" s="33"/>
      <c r="H18" s="33"/>
      <c r="I18" s="32"/>
      <c r="J18" s="32"/>
      <c r="K18" s="32"/>
      <c r="L18" s="33"/>
      <c r="M18" s="33"/>
      <c r="N18" s="33"/>
      <c r="O18" s="32"/>
      <c r="P18" s="32"/>
      <c r="Q18" s="32"/>
      <c r="R18" s="32"/>
      <c r="S18" s="32"/>
      <c r="T18" s="33"/>
      <c r="U18" s="33"/>
      <c r="V18" s="32"/>
      <c r="W18" s="32"/>
      <c r="X18" s="32"/>
      <c r="Y18" s="32"/>
      <c r="Z18" s="32"/>
      <c r="AA18" s="33"/>
      <c r="AB18" s="33"/>
      <c r="AC18" s="32"/>
      <c r="AD18" s="32"/>
      <c r="AE18" s="32"/>
      <c r="AF18" s="32"/>
      <c r="AG18" s="32"/>
      <c r="AH18" s="33"/>
      <c r="AI18" s="35">
        <f>COUNTIF(D18:AH18,"D")</f>
        <v>0</v>
      </c>
      <c r="AJ18" s="35">
        <f>COUNTIF(D18:AH18,"E")</f>
        <v>0</v>
      </c>
      <c r="AK18" s="35">
        <f>COUNTIF(D18:AH18,"N")</f>
        <v>0</v>
      </c>
      <c r="AL18" s="36">
        <f>COUNTIF(D18:AH18,"O")</f>
        <v>0</v>
      </c>
    </row>
    <row r="19" spans="1:38" ht="12.6" customHeight="1" x14ac:dyDescent="0.3">
      <c r="A19" s="187"/>
      <c r="B19" s="134">
        <v>10</v>
      </c>
      <c r="C19" s="30" t="s">
        <v>36</v>
      </c>
      <c r="D19" s="31"/>
      <c r="E19" s="32"/>
      <c r="F19" s="33"/>
      <c r="G19" s="33"/>
      <c r="H19" s="33"/>
      <c r="I19" s="32"/>
      <c r="J19" s="32"/>
      <c r="K19" s="32"/>
      <c r="L19" s="34" t="s">
        <v>4</v>
      </c>
      <c r="M19" s="34" t="s">
        <v>4</v>
      </c>
      <c r="N19" s="33"/>
      <c r="O19" s="32"/>
      <c r="P19" s="32"/>
      <c r="Q19" s="32"/>
      <c r="R19" s="32"/>
      <c r="S19" s="32"/>
      <c r="T19" s="33"/>
      <c r="U19" s="33"/>
      <c r="V19" s="32"/>
      <c r="W19" s="32"/>
      <c r="X19" s="32"/>
      <c r="Y19" s="32"/>
      <c r="Z19" s="32"/>
      <c r="AA19" s="33"/>
      <c r="AB19" s="33"/>
      <c r="AC19" s="32"/>
      <c r="AD19" s="32"/>
      <c r="AE19" s="32"/>
      <c r="AF19" s="32"/>
      <c r="AG19" s="32"/>
      <c r="AH19" s="34" t="s">
        <v>4</v>
      </c>
      <c r="AI19" s="35">
        <f>COUNTIF(D19:AH19,"D")</f>
        <v>0</v>
      </c>
      <c r="AJ19" s="35">
        <f>COUNTIF(D19:AH19,"E")</f>
        <v>0</v>
      </c>
      <c r="AK19" s="35">
        <f>COUNTIF(D19:AH19,"N")</f>
        <v>0</v>
      </c>
      <c r="AL19" s="36">
        <f>COUNTIF(D19:AH19,"O")</f>
        <v>3</v>
      </c>
    </row>
    <row r="20" spans="1:38" ht="12.6" customHeight="1" thickBot="1" x14ac:dyDescent="0.35">
      <c r="A20" s="188"/>
      <c r="B20" s="135">
        <v>22</v>
      </c>
      <c r="C20" s="39" t="s">
        <v>38</v>
      </c>
      <c r="D20" s="40"/>
      <c r="E20" s="41"/>
      <c r="F20" s="42"/>
      <c r="G20" s="42"/>
      <c r="H20" s="42"/>
      <c r="I20" s="41"/>
      <c r="J20" s="41"/>
      <c r="K20" s="41"/>
      <c r="L20" s="42"/>
      <c r="M20" s="42"/>
      <c r="N20" s="42"/>
      <c r="O20" s="41"/>
      <c r="P20" s="41"/>
      <c r="Q20" s="41"/>
      <c r="R20" s="41"/>
      <c r="S20" s="41"/>
      <c r="T20" s="42"/>
      <c r="U20" s="42"/>
      <c r="V20" s="41"/>
      <c r="W20" s="41"/>
      <c r="X20" s="41"/>
      <c r="Y20" s="55" t="s">
        <v>14</v>
      </c>
      <c r="Z20" s="41"/>
      <c r="AA20" s="42"/>
      <c r="AB20" s="42"/>
      <c r="AC20" s="41"/>
      <c r="AD20" s="41"/>
      <c r="AE20" s="41"/>
      <c r="AF20" s="41"/>
      <c r="AG20" s="41"/>
      <c r="AH20" s="42"/>
      <c r="AI20" s="9">
        <f>COUNTIF(D20:AH20,"D")</f>
        <v>0</v>
      </c>
      <c r="AJ20" s="9">
        <f>COUNTIF(D20:AH20,"E")</f>
        <v>0</v>
      </c>
      <c r="AK20" s="9">
        <f>COUNTIF(D20:AH20,"N")</f>
        <v>0</v>
      </c>
      <c r="AL20" s="14">
        <f>COUNTIF(D20:AH20,"O")</f>
        <v>0</v>
      </c>
    </row>
    <row r="21" spans="1:38" ht="12.6" customHeight="1" x14ac:dyDescent="0.3">
      <c r="A21" s="186" t="s">
        <v>1</v>
      </c>
      <c r="B21" s="137">
        <v>11</v>
      </c>
      <c r="C21" s="144" t="s">
        <v>30</v>
      </c>
      <c r="D21" s="57"/>
      <c r="E21" s="58"/>
      <c r="F21" s="59"/>
      <c r="G21" s="59"/>
      <c r="H21" s="59"/>
      <c r="I21" s="58"/>
      <c r="J21" s="58"/>
      <c r="K21" s="58"/>
      <c r="L21" s="59"/>
      <c r="M21" s="60" t="s">
        <v>4</v>
      </c>
      <c r="N21" s="60" t="s">
        <v>4</v>
      </c>
      <c r="O21" s="58"/>
      <c r="P21" s="58"/>
      <c r="Q21" s="58"/>
      <c r="R21" s="58"/>
      <c r="S21" s="61" t="s">
        <v>18</v>
      </c>
      <c r="T21" s="59"/>
      <c r="U21" s="59"/>
      <c r="V21" s="58"/>
      <c r="W21" s="58"/>
      <c r="X21" s="61" t="s">
        <v>18</v>
      </c>
      <c r="Y21" s="58"/>
      <c r="Z21" s="62" t="s">
        <v>14</v>
      </c>
      <c r="AA21" s="59"/>
      <c r="AB21" s="59"/>
      <c r="AC21" s="58"/>
      <c r="AD21" s="58"/>
      <c r="AE21" s="58"/>
      <c r="AF21" s="58"/>
      <c r="AG21" s="58"/>
      <c r="AH21" s="60" t="s">
        <v>4</v>
      </c>
      <c r="AI21" s="63">
        <f t="shared" ref="AI21:AI30" si="4">COUNTIF(D21:AH21,"D")</f>
        <v>0</v>
      </c>
      <c r="AJ21" s="63">
        <f t="shared" ref="AJ21:AJ30" si="5">COUNTIF(D21:AH21,"E")</f>
        <v>0</v>
      </c>
      <c r="AK21" s="63">
        <f t="shared" ref="AK21:AK30" si="6">COUNTIF(D21:AH21,"N")</f>
        <v>0</v>
      </c>
      <c r="AL21" s="64">
        <f t="shared" ref="AL21:AL31" si="7">COUNTIF(D21:AH21,"O")</f>
        <v>3</v>
      </c>
    </row>
    <row r="22" spans="1:38" ht="12.6" customHeight="1" x14ac:dyDescent="0.3">
      <c r="A22" s="187"/>
      <c r="B22" s="134">
        <v>12</v>
      </c>
      <c r="C22" s="143" t="s">
        <v>42</v>
      </c>
      <c r="D22" s="31"/>
      <c r="E22" s="32"/>
      <c r="F22" s="33"/>
      <c r="G22" s="33"/>
      <c r="H22" s="33"/>
      <c r="I22" s="32"/>
      <c r="J22" s="32"/>
      <c r="K22" s="32"/>
      <c r="L22" s="33"/>
      <c r="M22" s="33"/>
      <c r="N22" s="33"/>
      <c r="O22" s="32"/>
      <c r="P22" s="32"/>
      <c r="Q22" s="32"/>
      <c r="R22" s="32"/>
      <c r="S22" s="37" t="s">
        <v>21</v>
      </c>
      <c r="T22" s="33"/>
      <c r="U22" s="33"/>
      <c r="V22" s="32"/>
      <c r="W22" s="32"/>
      <c r="X22" s="54" t="s">
        <v>18</v>
      </c>
      <c r="Y22" s="32"/>
      <c r="Z22" s="32"/>
      <c r="AA22" s="33"/>
      <c r="AB22" s="33"/>
      <c r="AC22" s="32"/>
      <c r="AD22" s="32"/>
      <c r="AE22" s="32"/>
      <c r="AF22" s="32"/>
      <c r="AG22" s="32"/>
      <c r="AH22" s="33"/>
      <c r="AI22" s="35">
        <f t="shared" si="4"/>
        <v>0</v>
      </c>
      <c r="AJ22" s="35">
        <f t="shared" si="5"/>
        <v>0</v>
      </c>
      <c r="AK22" s="35">
        <f t="shared" si="6"/>
        <v>0</v>
      </c>
      <c r="AL22" s="36">
        <f t="shared" si="7"/>
        <v>0</v>
      </c>
    </row>
    <row r="23" spans="1:38" ht="12.6" customHeight="1" x14ac:dyDescent="0.3">
      <c r="A23" s="187"/>
      <c r="B23" s="134">
        <v>24</v>
      </c>
      <c r="C23" s="143" t="s">
        <v>39</v>
      </c>
      <c r="D23" s="31"/>
      <c r="E23" s="32"/>
      <c r="F23" s="33"/>
      <c r="G23" s="33"/>
      <c r="H23" s="33"/>
      <c r="I23" s="32"/>
      <c r="J23" s="32"/>
      <c r="K23" s="32"/>
      <c r="L23" s="33"/>
      <c r="M23" s="33"/>
      <c r="N23" s="33"/>
      <c r="O23" s="32"/>
      <c r="P23" s="32"/>
      <c r="Q23" s="32"/>
      <c r="R23" s="32"/>
      <c r="S23" s="37" t="s">
        <v>14</v>
      </c>
      <c r="T23" s="33"/>
      <c r="U23" s="34" t="s">
        <v>4</v>
      </c>
      <c r="V23" s="34" t="s">
        <v>4</v>
      </c>
      <c r="W23" s="34" t="s">
        <v>4</v>
      </c>
      <c r="X23" s="34" t="s">
        <v>4</v>
      </c>
      <c r="Y23" s="34" t="s">
        <v>4</v>
      </c>
      <c r="Z23" s="32"/>
      <c r="AA23" s="33"/>
      <c r="AB23" s="33"/>
      <c r="AC23" s="32"/>
      <c r="AD23" s="32"/>
      <c r="AE23" s="32"/>
      <c r="AF23" s="32"/>
      <c r="AG23" s="32"/>
      <c r="AH23" s="33"/>
      <c r="AI23" s="35">
        <f>COUNTIF(D23:AH23,"D")</f>
        <v>0</v>
      </c>
      <c r="AJ23" s="35">
        <f>COUNTIF(D23:AH23,"E")</f>
        <v>0</v>
      </c>
      <c r="AK23" s="35">
        <f>COUNTIF(D23:AH23,"N")</f>
        <v>0</v>
      </c>
      <c r="AL23" s="36">
        <f>COUNTIF(D23:AH23,"O")</f>
        <v>5</v>
      </c>
    </row>
    <row r="24" spans="1:38" ht="12.6" customHeight="1" x14ac:dyDescent="0.3">
      <c r="A24" s="187"/>
      <c r="B24" s="134">
        <v>16</v>
      </c>
      <c r="C24" s="143" t="s">
        <v>34</v>
      </c>
      <c r="D24" s="65" t="s">
        <v>4</v>
      </c>
      <c r="E24" s="34" t="s">
        <v>4</v>
      </c>
      <c r="F24" s="34" t="s">
        <v>2</v>
      </c>
      <c r="G24" s="33"/>
      <c r="H24" s="34" t="s">
        <v>4</v>
      </c>
      <c r="I24" s="32"/>
      <c r="J24" s="32"/>
      <c r="K24" s="32"/>
      <c r="L24" s="34" t="s">
        <v>4</v>
      </c>
      <c r="M24" s="34" t="s">
        <v>4</v>
      </c>
      <c r="N24" s="33"/>
      <c r="O24" s="32"/>
      <c r="P24" s="32"/>
      <c r="Q24" s="32"/>
      <c r="R24" s="34" t="s">
        <v>4</v>
      </c>
      <c r="S24" s="32"/>
      <c r="T24" s="34" t="s">
        <v>1</v>
      </c>
      <c r="U24" s="34" t="s">
        <v>2</v>
      </c>
      <c r="V24" s="32"/>
      <c r="W24" s="32"/>
      <c r="X24" s="32"/>
      <c r="Y24" s="34" t="s">
        <v>4</v>
      </c>
      <c r="Z24" s="32"/>
      <c r="AA24" s="33"/>
      <c r="AB24" s="33"/>
      <c r="AC24" s="32"/>
      <c r="AD24" s="32"/>
      <c r="AE24" s="32"/>
      <c r="AF24" s="32"/>
      <c r="AG24" s="34" t="s">
        <v>4</v>
      </c>
      <c r="AH24" s="33"/>
      <c r="AI24" s="35">
        <f>COUNTIF(D24:AH24,"D")</f>
        <v>1</v>
      </c>
      <c r="AJ24" s="35">
        <f>COUNTIF(D24:AH24,"E")</f>
        <v>2</v>
      </c>
      <c r="AK24" s="35">
        <f>COUNTIF(D24:AH24,"N")</f>
        <v>0</v>
      </c>
      <c r="AL24" s="36">
        <f>COUNTIF(D24:AH24,"O")</f>
        <v>8</v>
      </c>
    </row>
    <row r="25" spans="1:38" ht="12.6" customHeight="1" x14ac:dyDescent="0.3">
      <c r="A25" s="187"/>
      <c r="B25" s="148">
        <v>14</v>
      </c>
      <c r="C25" s="149" t="s">
        <v>43</v>
      </c>
      <c r="D25" s="31"/>
      <c r="E25" s="32"/>
      <c r="F25" s="33"/>
      <c r="G25" s="33"/>
      <c r="H25" s="33"/>
      <c r="I25" s="32"/>
      <c r="J25" s="32"/>
      <c r="K25" s="32"/>
      <c r="L25" s="34" t="s">
        <v>4</v>
      </c>
      <c r="M25" s="34" t="s">
        <v>4</v>
      </c>
      <c r="N25" s="33"/>
      <c r="O25" s="32"/>
      <c r="P25" s="32"/>
      <c r="Q25" s="32"/>
      <c r="R25" s="32"/>
      <c r="S25" s="32"/>
      <c r="T25" s="34" t="s">
        <v>4</v>
      </c>
      <c r="U25" s="33"/>
      <c r="V25" s="32"/>
      <c r="W25" s="32"/>
      <c r="X25" s="32"/>
      <c r="Y25" s="32"/>
      <c r="Z25" s="32"/>
      <c r="AA25" s="34" t="s">
        <v>4</v>
      </c>
      <c r="AB25" s="34" t="s">
        <v>4</v>
      </c>
      <c r="AC25" s="32"/>
      <c r="AD25" s="32"/>
      <c r="AE25" s="32"/>
      <c r="AF25" s="32"/>
      <c r="AG25" s="32"/>
      <c r="AH25" s="33"/>
      <c r="AI25" s="35">
        <f>COUNTIF(D25:AH25,"D")</f>
        <v>0</v>
      </c>
      <c r="AJ25" s="35">
        <f>COUNTIF(D25:AH25,"E")</f>
        <v>0</v>
      </c>
      <c r="AK25" s="35">
        <f>COUNTIF(D25:AH25,"N")</f>
        <v>0</v>
      </c>
      <c r="AL25" s="36">
        <f>COUNTIF(D25:AH25,"O")</f>
        <v>5</v>
      </c>
    </row>
    <row r="26" spans="1:38" ht="12.6" customHeight="1" thickBot="1" x14ac:dyDescent="0.35">
      <c r="A26" s="188"/>
      <c r="B26" s="136">
        <v>15</v>
      </c>
      <c r="C26" s="141" t="s">
        <v>38</v>
      </c>
      <c r="D26" s="48"/>
      <c r="E26" s="49"/>
      <c r="F26" s="50"/>
      <c r="G26" s="50"/>
      <c r="H26" s="50"/>
      <c r="I26" s="49"/>
      <c r="J26" s="49"/>
      <c r="K26" s="49"/>
      <c r="L26" s="50"/>
      <c r="M26" s="50"/>
      <c r="N26" s="50"/>
      <c r="O26" s="49"/>
      <c r="P26" s="49"/>
      <c r="Q26" s="49"/>
      <c r="R26" s="49"/>
      <c r="S26" s="49"/>
      <c r="T26" s="50"/>
      <c r="U26" s="50"/>
      <c r="V26" s="49"/>
      <c r="W26" s="49"/>
      <c r="X26" s="49"/>
      <c r="Y26" s="51" t="s">
        <v>14</v>
      </c>
      <c r="Z26" s="49"/>
      <c r="AA26" s="50"/>
      <c r="AB26" s="50"/>
      <c r="AC26" s="49"/>
      <c r="AD26" s="49"/>
      <c r="AE26" s="49"/>
      <c r="AF26" s="49"/>
      <c r="AG26" s="49"/>
      <c r="AH26" s="50"/>
      <c r="AI26" s="52">
        <f t="shared" si="4"/>
        <v>0</v>
      </c>
      <c r="AJ26" s="52">
        <f t="shared" si="5"/>
        <v>0</v>
      </c>
      <c r="AK26" s="52">
        <f t="shared" si="6"/>
        <v>0</v>
      </c>
      <c r="AL26" s="53">
        <f t="shared" si="7"/>
        <v>0</v>
      </c>
    </row>
    <row r="27" spans="1:38" ht="12.6" customHeight="1" x14ac:dyDescent="0.3">
      <c r="A27" s="186" t="s">
        <v>2</v>
      </c>
      <c r="B27" s="150">
        <v>5</v>
      </c>
      <c r="C27" s="151" t="s">
        <v>44</v>
      </c>
      <c r="D27" s="66" t="s">
        <v>4</v>
      </c>
      <c r="E27" s="26"/>
      <c r="F27" s="27"/>
      <c r="G27" s="27"/>
      <c r="H27" s="27"/>
      <c r="I27" s="26"/>
      <c r="J27" s="26"/>
      <c r="K27" s="28" t="s">
        <v>4</v>
      </c>
      <c r="L27" s="27"/>
      <c r="M27" s="27"/>
      <c r="N27" s="27"/>
      <c r="O27" s="26"/>
      <c r="P27" s="26"/>
      <c r="Q27" s="26"/>
      <c r="R27" s="28" t="s">
        <v>4</v>
      </c>
      <c r="S27" s="26"/>
      <c r="T27" s="27"/>
      <c r="U27" s="27"/>
      <c r="V27" s="26"/>
      <c r="W27" s="26"/>
      <c r="X27" s="26"/>
      <c r="Y27" s="28" t="s">
        <v>4</v>
      </c>
      <c r="Z27" s="67" t="s">
        <v>14</v>
      </c>
      <c r="AA27" s="68" t="s">
        <v>2</v>
      </c>
      <c r="AB27" s="68" t="s">
        <v>2</v>
      </c>
      <c r="AC27" s="26"/>
      <c r="AD27" s="26"/>
      <c r="AE27" s="26"/>
      <c r="AF27" s="26"/>
      <c r="AG27" s="28" t="s">
        <v>4</v>
      </c>
      <c r="AH27" s="27"/>
      <c r="AI27" s="2">
        <f>COUNTIF(D27:AH27,"D")</f>
        <v>0</v>
      </c>
      <c r="AJ27" s="2">
        <f>COUNTIF(D27:AH27,"E")</f>
        <v>2</v>
      </c>
      <c r="AK27" s="2">
        <f>COUNTIF(D27:AH27,"N")</f>
        <v>0</v>
      </c>
      <c r="AL27" s="8">
        <f>COUNTIF(D27:AH27,"O")</f>
        <v>5</v>
      </c>
    </row>
    <row r="28" spans="1:38" ht="12.6" customHeight="1" x14ac:dyDescent="0.3">
      <c r="A28" s="190"/>
      <c r="B28" s="134">
        <v>18</v>
      </c>
      <c r="C28" s="143" t="s">
        <v>45</v>
      </c>
      <c r="D28" s="69" t="s">
        <v>19</v>
      </c>
      <c r="E28" s="32"/>
      <c r="F28" s="33"/>
      <c r="G28" s="33"/>
      <c r="H28" s="33"/>
      <c r="I28" s="32"/>
      <c r="J28" s="32"/>
      <c r="K28" s="34" t="s">
        <v>4</v>
      </c>
      <c r="L28" s="34" t="s">
        <v>4</v>
      </c>
      <c r="M28" s="34" t="s">
        <v>2</v>
      </c>
      <c r="N28" s="33"/>
      <c r="O28" s="32"/>
      <c r="P28" s="32"/>
      <c r="Q28" s="32"/>
      <c r="R28" s="32"/>
      <c r="S28" s="32"/>
      <c r="T28" s="33"/>
      <c r="U28" s="33"/>
      <c r="V28" s="32"/>
      <c r="W28" s="32"/>
      <c r="X28" s="32"/>
      <c r="Y28" s="32"/>
      <c r="Z28" s="54" t="s">
        <v>19</v>
      </c>
      <c r="AA28" s="34" t="s">
        <v>4</v>
      </c>
      <c r="AB28" s="33"/>
      <c r="AC28" s="32"/>
      <c r="AD28" s="32"/>
      <c r="AE28" s="32"/>
      <c r="AF28" s="32"/>
      <c r="AG28" s="32"/>
      <c r="AH28" s="33"/>
      <c r="AI28" s="35">
        <f>COUNTIF(D28:AH28,"D")</f>
        <v>0</v>
      </c>
      <c r="AJ28" s="35">
        <f>COUNTIF(D28:AH28,"E")</f>
        <v>1</v>
      </c>
      <c r="AK28" s="35">
        <f>COUNTIF(D28:AH28,"N")</f>
        <v>0</v>
      </c>
      <c r="AL28" s="36">
        <f>COUNTIF(D28:AH28,"O")</f>
        <v>3</v>
      </c>
    </row>
    <row r="29" spans="1:38" ht="12.6" customHeight="1" x14ac:dyDescent="0.3">
      <c r="A29" s="29" t="s">
        <v>54</v>
      </c>
      <c r="B29" s="134">
        <v>19</v>
      </c>
      <c r="C29" s="143" t="s">
        <v>42</v>
      </c>
      <c r="D29" s="69" t="s">
        <v>19</v>
      </c>
      <c r="E29" s="32"/>
      <c r="F29" s="34" t="s">
        <v>4</v>
      </c>
      <c r="G29" s="33"/>
      <c r="H29" s="33"/>
      <c r="I29" s="32"/>
      <c r="J29" s="32"/>
      <c r="K29" s="32"/>
      <c r="L29" s="33"/>
      <c r="M29" s="33"/>
      <c r="N29" s="33"/>
      <c r="O29" s="32"/>
      <c r="P29" s="32"/>
      <c r="Q29" s="32"/>
      <c r="R29" s="32"/>
      <c r="S29" s="37" t="s">
        <v>21</v>
      </c>
      <c r="T29" s="33"/>
      <c r="U29" s="33"/>
      <c r="V29" s="32"/>
      <c r="W29" s="32"/>
      <c r="X29" s="32"/>
      <c r="Y29" s="32"/>
      <c r="Z29" s="54" t="s">
        <v>19</v>
      </c>
      <c r="AA29" s="33" t="s">
        <v>4</v>
      </c>
      <c r="AB29" s="33"/>
      <c r="AC29" s="32"/>
      <c r="AD29" s="32"/>
      <c r="AE29" s="32"/>
      <c r="AF29" s="32"/>
      <c r="AG29" s="32"/>
      <c r="AH29" s="33"/>
      <c r="AI29" s="35">
        <f>COUNTIF(D29:AH29,"D")</f>
        <v>0</v>
      </c>
      <c r="AJ29" s="35">
        <f>COUNTIF(D29:AH29,"E")</f>
        <v>0</v>
      </c>
      <c r="AK29" s="35">
        <f>COUNTIF(D29:AH29,"N")</f>
        <v>0</v>
      </c>
      <c r="AL29" s="36">
        <f>COUNTIF(D29:AH29,"O")</f>
        <v>2</v>
      </c>
    </row>
    <row r="30" spans="1:38" ht="12.6" customHeight="1" x14ac:dyDescent="0.3">
      <c r="A30" s="29"/>
      <c r="B30" s="134">
        <v>25</v>
      </c>
      <c r="C30" s="143" t="s">
        <v>47</v>
      </c>
      <c r="D30" s="31"/>
      <c r="E30" s="32"/>
      <c r="F30" s="33"/>
      <c r="G30" s="33"/>
      <c r="H30" s="33"/>
      <c r="I30" s="34" t="s">
        <v>3</v>
      </c>
      <c r="J30" s="34" t="s">
        <v>4</v>
      </c>
      <c r="K30" s="34" t="s">
        <v>4</v>
      </c>
      <c r="L30" s="34" t="s">
        <v>4</v>
      </c>
      <c r="M30" s="34" t="s">
        <v>4</v>
      </c>
      <c r="N30" s="34" t="s">
        <v>4</v>
      </c>
      <c r="O30" s="34" t="s">
        <v>4</v>
      </c>
      <c r="P30" s="32"/>
      <c r="Q30" s="32"/>
      <c r="R30" s="32"/>
      <c r="S30" s="32"/>
      <c r="T30" s="33"/>
      <c r="U30" s="33"/>
      <c r="V30" s="32"/>
      <c r="W30" s="54" t="s">
        <v>19</v>
      </c>
      <c r="X30" s="145" t="s">
        <v>55</v>
      </c>
      <c r="Y30" s="32"/>
      <c r="Z30" s="32"/>
      <c r="AA30" s="33"/>
      <c r="AB30" s="33"/>
      <c r="AC30" s="32"/>
      <c r="AD30" s="32"/>
      <c r="AE30" s="32"/>
      <c r="AF30" s="32"/>
      <c r="AG30" s="32"/>
      <c r="AH30" s="34" t="s">
        <v>4</v>
      </c>
      <c r="AI30" s="35">
        <f t="shared" si="4"/>
        <v>0</v>
      </c>
      <c r="AJ30" s="35">
        <f t="shared" si="5"/>
        <v>0</v>
      </c>
      <c r="AK30" s="35">
        <f t="shared" si="6"/>
        <v>1</v>
      </c>
      <c r="AL30" s="36">
        <f t="shared" si="7"/>
        <v>7</v>
      </c>
    </row>
    <row r="31" spans="1:38" ht="12.6" customHeight="1" x14ac:dyDescent="0.3">
      <c r="A31" s="29" t="s">
        <v>54</v>
      </c>
      <c r="B31" s="134">
        <v>26</v>
      </c>
      <c r="C31" s="143" t="s">
        <v>42</v>
      </c>
      <c r="D31" s="31"/>
      <c r="E31" s="32"/>
      <c r="F31" s="33"/>
      <c r="G31" s="33"/>
      <c r="H31" s="33"/>
      <c r="I31" s="32"/>
      <c r="J31" s="32"/>
      <c r="K31" s="32"/>
      <c r="L31" s="54" t="s">
        <v>18</v>
      </c>
      <c r="M31" s="54" t="s">
        <v>18</v>
      </c>
      <c r="N31" s="33"/>
      <c r="O31" s="32"/>
      <c r="P31" s="32"/>
      <c r="Q31" s="32"/>
      <c r="R31" s="32"/>
      <c r="S31" s="32"/>
      <c r="T31" s="33"/>
      <c r="U31" s="33"/>
      <c r="V31" s="32"/>
      <c r="W31" s="54" t="s">
        <v>19</v>
      </c>
      <c r="X31" s="32"/>
      <c r="Y31" s="32"/>
      <c r="Z31" s="32"/>
      <c r="AA31" s="54" t="s">
        <v>19</v>
      </c>
      <c r="AB31" s="54" t="s">
        <v>19</v>
      </c>
      <c r="AC31" s="193" t="s">
        <v>55</v>
      </c>
      <c r="AD31" s="32" t="s">
        <v>3</v>
      </c>
      <c r="AE31" s="32"/>
      <c r="AF31" s="32"/>
      <c r="AG31" s="32"/>
      <c r="AH31" s="33"/>
      <c r="AI31" s="35">
        <f>COUNTIF(D31:AH31,"D")</f>
        <v>0</v>
      </c>
      <c r="AJ31" s="35">
        <f>COUNTIF(D31:AH31,"E")</f>
        <v>0</v>
      </c>
      <c r="AK31" s="35">
        <f>COUNTIF(D31:AH31,"N")</f>
        <v>1</v>
      </c>
      <c r="AL31" s="36">
        <f t="shared" si="7"/>
        <v>0</v>
      </c>
    </row>
    <row r="32" spans="1:38" ht="12.6" customHeight="1" x14ac:dyDescent="0.3">
      <c r="A32" s="189"/>
      <c r="B32" s="134">
        <v>9</v>
      </c>
      <c r="C32" s="143" t="s">
        <v>43</v>
      </c>
      <c r="D32" s="65" t="s">
        <v>4</v>
      </c>
      <c r="E32" s="32"/>
      <c r="F32" s="33"/>
      <c r="G32" s="33"/>
      <c r="H32" s="33"/>
      <c r="I32" s="32"/>
      <c r="J32" s="32"/>
      <c r="K32" s="34" t="s">
        <v>4</v>
      </c>
      <c r="L32" s="33"/>
      <c r="M32" s="33"/>
      <c r="N32" s="33"/>
      <c r="O32" s="32"/>
      <c r="P32" s="32"/>
      <c r="Q32" s="32"/>
      <c r="R32" s="34" t="s">
        <v>4</v>
      </c>
      <c r="S32" s="32"/>
      <c r="T32" s="33"/>
      <c r="U32" s="33"/>
      <c r="V32" s="32"/>
      <c r="W32" s="32"/>
      <c r="X32" s="37" t="s">
        <v>14</v>
      </c>
      <c r="Y32" s="34" t="s">
        <v>4</v>
      </c>
      <c r="Z32" s="32"/>
      <c r="AA32" s="33"/>
      <c r="AB32" s="33"/>
      <c r="AC32" s="32"/>
      <c r="AD32" s="32"/>
      <c r="AE32" s="32"/>
      <c r="AF32" s="32"/>
      <c r="AG32" s="34" t="s">
        <v>3</v>
      </c>
      <c r="AH32" s="33" t="s">
        <v>3</v>
      </c>
      <c r="AI32" s="35">
        <f>COUNTIF(D32:AH32,"D")</f>
        <v>0</v>
      </c>
      <c r="AJ32" s="35">
        <f>COUNTIF(D32:AH32,"E")</f>
        <v>0</v>
      </c>
      <c r="AK32" s="35">
        <f>COUNTIF(D32:AH32,"N")</f>
        <v>2</v>
      </c>
      <c r="AL32" s="36">
        <f>COUNTIF(D32:AH32,"O")</f>
        <v>4</v>
      </c>
    </row>
    <row r="33" spans="1:38" ht="12.6" customHeight="1" thickBot="1" x14ac:dyDescent="0.35">
      <c r="A33" s="188"/>
      <c r="B33" s="135">
        <v>28</v>
      </c>
      <c r="C33" s="39" t="s">
        <v>48</v>
      </c>
      <c r="D33" s="40"/>
      <c r="E33" s="41"/>
      <c r="F33" s="42"/>
      <c r="G33" s="42"/>
      <c r="H33" s="42"/>
      <c r="I33" s="41"/>
      <c r="J33" s="41"/>
      <c r="K33" s="41"/>
      <c r="L33" s="42"/>
      <c r="M33" s="42"/>
      <c r="N33" s="42"/>
      <c r="O33" s="41"/>
      <c r="P33" s="41"/>
      <c r="Q33" s="41"/>
      <c r="R33" s="41"/>
      <c r="S33" s="41"/>
      <c r="T33" s="42"/>
      <c r="U33" s="42"/>
      <c r="V33" s="41"/>
      <c r="W33" s="41"/>
      <c r="X33" s="41"/>
      <c r="Y33" s="41"/>
      <c r="Z33" s="41"/>
      <c r="AA33" s="42"/>
      <c r="AB33" s="42"/>
      <c r="AC33" s="41"/>
      <c r="AD33" s="41"/>
      <c r="AE33" s="41"/>
      <c r="AF33" s="41"/>
      <c r="AG33" s="41"/>
      <c r="AH33" s="42"/>
      <c r="AI33" s="9">
        <f>COUNTIF(D33:AH33,"D")</f>
        <v>0</v>
      </c>
      <c r="AJ33" s="9">
        <f>COUNTIF(D33:AH33,"E")</f>
        <v>0</v>
      </c>
      <c r="AK33" s="9">
        <f>COUNTIF(D33:AH33,"N")</f>
        <v>0</v>
      </c>
      <c r="AL33" s="14">
        <f>COUNTIF(D33:AH33,"O")</f>
        <v>0</v>
      </c>
    </row>
    <row r="34" spans="1:38" ht="12.6" customHeight="1" x14ac:dyDescent="0.3">
      <c r="A34" s="164"/>
      <c r="B34" s="178"/>
      <c r="C34" s="167"/>
      <c r="D34" s="73">
        <f t="shared" ref="D34:AH34" si="8">COUNTIF(D2:D33,"D")</f>
        <v>0</v>
      </c>
      <c r="E34" s="74">
        <f t="shared" si="8"/>
        <v>0</v>
      </c>
      <c r="F34" s="75">
        <f t="shared" si="8"/>
        <v>0</v>
      </c>
      <c r="G34" s="75">
        <f t="shared" si="8"/>
        <v>1</v>
      </c>
      <c r="H34" s="75">
        <f t="shared" si="8"/>
        <v>0</v>
      </c>
      <c r="I34" s="74">
        <f t="shared" si="8"/>
        <v>0</v>
      </c>
      <c r="J34" s="74">
        <f t="shared" si="8"/>
        <v>0</v>
      </c>
      <c r="K34" s="74">
        <f t="shared" si="8"/>
        <v>0</v>
      </c>
      <c r="L34" s="75">
        <f t="shared" si="8"/>
        <v>1</v>
      </c>
      <c r="M34" s="75">
        <f t="shared" si="8"/>
        <v>0</v>
      </c>
      <c r="N34" s="75">
        <f t="shared" si="8"/>
        <v>0</v>
      </c>
      <c r="O34" s="74">
        <f t="shared" si="8"/>
        <v>0</v>
      </c>
      <c r="P34" s="74">
        <f t="shared" si="8"/>
        <v>0</v>
      </c>
      <c r="Q34" s="74">
        <f t="shared" si="8"/>
        <v>0</v>
      </c>
      <c r="R34" s="74">
        <f t="shared" si="8"/>
        <v>0</v>
      </c>
      <c r="S34" s="74">
        <f t="shared" si="8"/>
        <v>0</v>
      </c>
      <c r="T34" s="75">
        <f t="shared" si="8"/>
        <v>1</v>
      </c>
      <c r="U34" s="75">
        <f t="shared" si="8"/>
        <v>0</v>
      </c>
      <c r="V34" s="74">
        <f t="shared" si="8"/>
        <v>0</v>
      </c>
      <c r="W34" s="74">
        <f t="shared" si="8"/>
        <v>0</v>
      </c>
      <c r="X34" s="74">
        <f t="shared" si="8"/>
        <v>0</v>
      </c>
      <c r="Y34" s="74">
        <f t="shared" si="8"/>
        <v>0</v>
      </c>
      <c r="Z34" s="74">
        <f t="shared" si="8"/>
        <v>0</v>
      </c>
      <c r="AA34" s="75">
        <f t="shared" si="8"/>
        <v>1</v>
      </c>
      <c r="AB34" s="75">
        <f t="shared" si="8"/>
        <v>1</v>
      </c>
      <c r="AC34" s="74">
        <f t="shared" si="8"/>
        <v>0</v>
      </c>
      <c r="AD34" s="74">
        <f t="shared" si="8"/>
        <v>1</v>
      </c>
      <c r="AE34" s="74">
        <f t="shared" si="8"/>
        <v>0</v>
      </c>
      <c r="AF34" s="74">
        <f t="shared" si="8"/>
        <v>0</v>
      </c>
      <c r="AG34" s="74">
        <f t="shared" si="8"/>
        <v>0</v>
      </c>
      <c r="AH34" s="76">
        <f t="shared" si="8"/>
        <v>0</v>
      </c>
      <c r="AI34" s="77">
        <f>SUM(D34:AH34)</f>
        <v>6</v>
      </c>
      <c r="AJ34" s="78"/>
      <c r="AK34" s="78"/>
      <c r="AL34" s="78"/>
    </row>
    <row r="35" spans="1:38" ht="12.6" customHeight="1" x14ac:dyDescent="0.3">
      <c r="A35" s="166"/>
      <c r="B35" s="178"/>
      <c r="C35" s="167"/>
      <c r="D35" s="79">
        <f t="shared" ref="D35:AH35" si="9">COUNTIF(D2:D33,"E")</f>
        <v>0</v>
      </c>
      <c r="E35" s="80">
        <f t="shared" si="9"/>
        <v>0</v>
      </c>
      <c r="F35" s="81">
        <f t="shared" si="9"/>
        <v>1</v>
      </c>
      <c r="G35" s="81">
        <f t="shared" si="9"/>
        <v>0</v>
      </c>
      <c r="H35" s="81">
        <f t="shared" si="9"/>
        <v>0</v>
      </c>
      <c r="I35" s="80">
        <f t="shared" si="9"/>
        <v>0</v>
      </c>
      <c r="J35" s="80">
        <f t="shared" si="9"/>
        <v>0</v>
      </c>
      <c r="K35" s="80">
        <f t="shared" si="9"/>
        <v>1</v>
      </c>
      <c r="L35" s="81">
        <f t="shared" si="9"/>
        <v>0</v>
      </c>
      <c r="M35" s="81">
        <f t="shared" si="9"/>
        <v>1</v>
      </c>
      <c r="N35" s="81">
        <f t="shared" si="9"/>
        <v>0</v>
      </c>
      <c r="O35" s="80">
        <f t="shared" si="9"/>
        <v>1</v>
      </c>
      <c r="P35" s="80">
        <f t="shared" si="9"/>
        <v>0</v>
      </c>
      <c r="Q35" s="80">
        <f t="shared" si="9"/>
        <v>0</v>
      </c>
      <c r="R35" s="80">
        <f t="shared" si="9"/>
        <v>0</v>
      </c>
      <c r="S35" s="80">
        <f t="shared" si="9"/>
        <v>0</v>
      </c>
      <c r="T35" s="81">
        <f t="shared" si="9"/>
        <v>0</v>
      </c>
      <c r="U35" s="81">
        <f t="shared" si="9"/>
        <v>2</v>
      </c>
      <c r="V35" s="80">
        <f t="shared" si="9"/>
        <v>0</v>
      </c>
      <c r="W35" s="80">
        <f t="shared" si="9"/>
        <v>1</v>
      </c>
      <c r="X35" s="80">
        <f t="shared" si="9"/>
        <v>0</v>
      </c>
      <c r="Y35" s="80">
        <f t="shared" si="9"/>
        <v>0</v>
      </c>
      <c r="Z35" s="80">
        <f t="shared" si="9"/>
        <v>0</v>
      </c>
      <c r="AA35" s="81">
        <f t="shared" si="9"/>
        <v>1</v>
      </c>
      <c r="AB35" s="81">
        <f t="shared" si="9"/>
        <v>1</v>
      </c>
      <c r="AC35" s="80">
        <f t="shared" si="9"/>
        <v>0</v>
      </c>
      <c r="AD35" s="80">
        <f t="shared" si="9"/>
        <v>0</v>
      </c>
      <c r="AE35" s="80">
        <f t="shared" si="9"/>
        <v>0</v>
      </c>
      <c r="AF35" s="80">
        <f t="shared" si="9"/>
        <v>0</v>
      </c>
      <c r="AG35" s="80">
        <f t="shared" si="9"/>
        <v>0</v>
      </c>
      <c r="AH35" s="82">
        <f t="shared" si="9"/>
        <v>0</v>
      </c>
      <c r="AI35" s="83"/>
      <c r="AJ35" s="84"/>
      <c r="AK35" s="84" t="s">
        <v>1</v>
      </c>
      <c r="AL35" s="84"/>
    </row>
    <row r="36" spans="1:38" ht="12.6" customHeight="1" x14ac:dyDescent="0.3">
      <c r="A36" s="166"/>
      <c r="B36" s="178"/>
      <c r="C36" s="167"/>
      <c r="D36" s="79">
        <f t="shared" ref="D36:AH36" si="10">COUNTIF(D2:D33,"N")</f>
        <v>0</v>
      </c>
      <c r="E36" s="80">
        <f t="shared" si="10"/>
        <v>0</v>
      </c>
      <c r="F36" s="81">
        <f t="shared" si="10"/>
        <v>0</v>
      </c>
      <c r="G36" s="81">
        <f t="shared" si="10"/>
        <v>0</v>
      </c>
      <c r="H36" s="81">
        <f t="shared" si="10"/>
        <v>0</v>
      </c>
      <c r="I36" s="80">
        <f t="shared" si="10"/>
        <v>1</v>
      </c>
      <c r="J36" s="80">
        <f t="shared" si="10"/>
        <v>0</v>
      </c>
      <c r="K36" s="80">
        <f t="shared" si="10"/>
        <v>0</v>
      </c>
      <c r="L36" s="81">
        <f t="shared" si="10"/>
        <v>0</v>
      </c>
      <c r="M36" s="81">
        <f t="shared" si="10"/>
        <v>0</v>
      </c>
      <c r="N36" s="81">
        <f t="shared" si="10"/>
        <v>0</v>
      </c>
      <c r="O36" s="80">
        <f t="shared" si="10"/>
        <v>0</v>
      </c>
      <c r="P36" s="80">
        <f t="shared" si="10"/>
        <v>0</v>
      </c>
      <c r="Q36" s="80">
        <f t="shared" si="10"/>
        <v>1</v>
      </c>
      <c r="R36" s="80">
        <f t="shared" si="10"/>
        <v>1</v>
      </c>
      <c r="S36" s="80">
        <f t="shared" si="10"/>
        <v>0</v>
      </c>
      <c r="T36" s="81">
        <f t="shared" si="10"/>
        <v>0</v>
      </c>
      <c r="U36" s="81">
        <f t="shared" si="10"/>
        <v>0</v>
      </c>
      <c r="V36" s="80">
        <f t="shared" si="10"/>
        <v>1</v>
      </c>
      <c r="W36" s="80">
        <f t="shared" si="10"/>
        <v>0</v>
      </c>
      <c r="X36" s="80">
        <f t="shared" si="10"/>
        <v>0</v>
      </c>
      <c r="Y36" s="80">
        <f t="shared" si="10"/>
        <v>0</v>
      </c>
      <c r="Z36" s="80">
        <f t="shared" si="10"/>
        <v>0</v>
      </c>
      <c r="AA36" s="81">
        <f t="shared" si="10"/>
        <v>0</v>
      </c>
      <c r="AB36" s="81">
        <f t="shared" si="10"/>
        <v>0</v>
      </c>
      <c r="AC36" s="80">
        <f t="shared" si="10"/>
        <v>0</v>
      </c>
      <c r="AD36" s="80">
        <f t="shared" si="10"/>
        <v>1</v>
      </c>
      <c r="AE36" s="80">
        <f t="shared" si="10"/>
        <v>0</v>
      </c>
      <c r="AF36" s="80">
        <f t="shared" si="10"/>
        <v>0</v>
      </c>
      <c r="AG36" s="80">
        <f t="shared" si="10"/>
        <v>1</v>
      </c>
      <c r="AH36" s="82">
        <f t="shared" si="10"/>
        <v>1</v>
      </c>
      <c r="AI36" s="83"/>
      <c r="AJ36" s="84"/>
      <c r="AK36" s="84"/>
      <c r="AL36" s="84" t="s">
        <v>23</v>
      </c>
    </row>
    <row r="37" spans="1:38" ht="12.6" customHeight="1" thickBot="1" x14ac:dyDescent="0.35">
      <c r="A37" s="171"/>
      <c r="B37" s="172"/>
      <c r="C37" s="179"/>
      <c r="D37" s="85">
        <f t="shared" ref="D37:AH37" si="11">COUNTIF(D2:D33,"O")</f>
        <v>3</v>
      </c>
      <c r="E37" s="86">
        <f t="shared" si="11"/>
        <v>1</v>
      </c>
      <c r="F37" s="87">
        <f t="shared" si="11"/>
        <v>3</v>
      </c>
      <c r="G37" s="87">
        <f t="shared" si="11"/>
        <v>2</v>
      </c>
      <c r="H37" s="87">
        <f t="shared" si="11"/>
        <v>4</v>
      </c>
      <c r="I37" s="86">
        <f t="shared" si="11"/>
        <v>1</v>
      </c>
      <c r="J37" s="86">
        <f t="shared" si="11"/>
        <v>2</v>
      </c>
      <c r="K37" s="86">
        <f t="shared" si="11"/>
        <v>4</v>
      </c>
      <c r="L37" s="87">
        <f t="shared" si="11"/>
        <v>6</v>
      </c>
      <c r="M37" s="87">
        <f t="shared" si="11"/>
        <v>6</v>
      </c>
      <c r="N37" s="87">
        <f t="shared" si="11"/>
        <v>3</v>
      </c>
      <c r="O37" s="86">
        <f t="shared" si="11"/>
        <v>2</v>
      </c>
      <c r="P37" s="86">
        <f t="shared" si="11"/>
        <v>2</v>
      </c>
      <c r="Q37" s="86">
        <f t="shared" si="11"/>
        <v>1</v>
      </c>
      <c r="R37" s="86">
        <f t="shared" si="11"/>
        <v>3</v>
      </c>
      <c r="S37" s="86">
        <f t="shared" si="11"/>
        <v>1</v>
      </c>
      <c r="T37" s="87">
        <f t="shared" si="11"/>
        <v>7</v>
      </c>
      <c r="U37" s="87">
        <f t="shared" si="11"/>
        <v>5</v>
      </c>
      <c r="V37" s="86">
        <f t="shared" si="11"/>
        <v>1</v>
      </c>
      <c r="W37" s="86">
        <f t="shared" si="11"/>
        <v>1</v>
      </c>
      <c r="X37" s="86">
        <f t="shared" si="11"/>
        <v>1</v>
      </c>
      <c r="Y37" s="86">
        <f t="shared" si="11"/>
        <v>4</v>
      </c>
      <c r="Z37" s="86">
        <f t="shared" si="11"/>
        <v>0</v>
      </c>
      <c r="AA37" s="87">
        <f t="shared" si="11"/>
        <v>6</v>
      </c>
      <c r="AB37" s="87">
        <f t="shared" si="11"/>
        <v>6</v>
      </c>
      <c r="AC37" s="86">
        <f t="shared" si="11"/>
        <v>1</v>
      </c>
      <c r="AD37" s="86">
        <f t="shared" si="11"/>
        <v>1</v>
      </c>
      <c r="AE37" s="86">
        <f t="shared" si="11"/>
        <v>0</v>
      </c>
      <c r="AF37" s="86">
        <f t="shared" si="11"/>
        <v>0</v>
      </c>
      <c r="AG37" s="86">
        <f t="shared" si="11"/>
        <v>3</v>
      </c>
      <c r="AH37" s="88">
        <f t="shared" si="11"/>
        <v>8</v>
      </c>
      <c r="AI37" s="89"/>
      <c r="AJ37" s="90"/>
      <c r="AK37" s="90"/>
      <c r="AL37" s="90"/>
    </row>
    <row r="38" spans="1:38" ht="8.25" customHeight="1" x14ac:dyDescent="0.3"/>
    <row r="39" spans="1:38" ht="147" customHeight="1" x14ac:dyDescent="0.3">
      <c r="D39" s="180" t="s">
        <v>58</v>
      </c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  <c r="AK39" s="181"/>
      <c r="AL39" s="181"/>
    </row>
  </sheetData>
  <mergeCells count="12">
    <mergeCell ref="A1:AL1"/>
    <mergeCell ref="C2:C3"/>
    <mergeCell ref="A34:C37"/>
    <mergeCell ref="D39:AL39"/>
    <mergeCell ref="B2:B3"/>
    <mergeCell ref="A2:A3"/>
    <mergeCell ref="A5:A8"/>
    <mergeCell ref="A9:A14"/>
    <mergeCell ref="A18:A20"/>
    <mergeCell ref="A21:A26"/>
    <mergeCell ref="A27:A28"/>
    <mergeCell ref="A32:A33"/>
  </mergeCells>
  <phoneticPr fontId="3" type="noConversion"/>
  <conditionalFormatting sqref="AK4:AK33">
    <cfRule type="cellIs" dxfId="1" priority="1" operator="greaterThan">
      <formula>8</formula>
    </cfRule>
  </conditionalFormatting>
  <pageMargins left="0.53" right="0.34" top="0.34" bottom="0.72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26.9월</vt:lpstr>
      <vt:lpstr>26.10월</vt:lpstr>
      <vt:lpstr>10월 근무연습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내과계중환자실 공용</dc:creator>
  <cp:lastModifiedBy>장경아</cp:lastModifiedBy>
  <cp:lastPrinted>2026-10-13T05:20:57Z</cp:lastPrinted>
  <dcterms:created xsi:type="dcterms:W3CDTF">2026-10-12T02:33:34Z</dcterms:created>
  <dcterms:modified xsi:type="dcterms:W3CDTF">2026-10-13T06:26:16Z</dcterms:modified>
</cp:coreProperties>
</file>